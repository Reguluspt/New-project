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6e25f1c279e65ba5/Desktop/Nháp/"/>
    </mc:Choice>
  </mc:AlternateContent>
  <xr:revisionPtr revIDLastSave="0" documentId="8_{EAB71C48-138D-4C98-9D40-AB7F003ADC4E}" xr6:coauthVersionLast="47" xr6:coauthVersionMax="47" xr10:uidLastSave="{00000000-0000-0000-0000-000000000000}"/>
  <bookViews>
    <workbookView xWindow="-120" yWindow="-120" windowWidth="51840" windowHeight="21120" xr2:uid="{C83CDC7D-5455-4082-8D83-F1505F746B66}"/>
  </bookViews>
  <sheets>
    <sheet name="THANG 3.2026" sheetId="1" r:id="rId1"/>
  </sheets>
  <externalReferences>
    <externalReference r:id="rId2"/>
  </externalReferences>
  <definedNames>
    <definedName name="_xlnm._FilterDatabase" localSheetId="0" hidden="1">'THANG 3.2026'!$A$3:$J$45</definedName>
    <definedName name="Danh_Sach_Doi_Tac">OFFSET('[1]Up Hs'!$H$2,0,0,COUNTA('[1]Up Hs'!$H:$H)-1.1)</definedName>
    <definedName name="Ds_Doi_Tac_tm">OFFSET('[1]Up Hs'!$H$2,MATCH('[1]Up Hs'!A1&amp;"*",Danh_Sach_Doi_Tac,0)-1,0,COUNTIF(Danh_Sach_Doi_Tac,'[1]Up Hs'!A1&amp;"*"),1)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43" i="1" l="1"/>
  <c r="N44" i="1" s="1"/>
  <c r="L42" i="1"/>
  <c r="P38" i="1"/>
  <c r="P39" i="1" s="1"/>
  <c r="O38" i="1"/>
  <c r="L35" i="1"/>
  <c r="L36" i="1" s="1"/>
  <c r="K9" i="1"/>
</calcChain>
</file>

<file path=xl/sharedStrings.xml><?xml version="1.0" encoding="utf-8"?>
<sst xmlns="http://schemas.openxmlformats.org/spreadsheetml/2006/main" count="387" uniqueCount="292">
  <si>
    <t>STT</t>
  </si>
  <si>
    <t>Khách hàng</t>
  </si>
  <si>
    <t>Địa chỉ</t>
  </si>
  <si>
    <t>Tài sản thẩm định</t>
  </si>
  <si>
    <t>Mục đích thẩm định</t>
  </si>
  <si>
    <t>Phí thẩm định</t>
  </si>
  <si>
    <t xml:space="preserve"> Số tiền Bằng chữ</t>
  </si>
  <si>
    <t>Diễn giải</t>
  </si>
  <si>
    <t>Ngân hàng</t>
  </si>
  <si>
    <t>Ông Nguyễn Thanh Tuân - 0908666884 (Thu tiền)</t>
  </si>
  <si>
    <t>Xã Ia Grai, tỉnh Gia Lai</t>
  </si>
  <si>
    <t>Thửa đất số 496 tờ bản đồ số 10; tại địa chỉ phường Quy Nhơn Đông, tỉnh Gia Lai.</t>
  </si>
  <si>
    <t>Làm cơ sở tham khảo để thế chấp vay vốn tại Vietcombank</t>
  </si>
  <si>
    <t>3.300.000</t>
  </si>
  <si>
    <t>Ba triệu ba trăm ngàn đồng chẵn.</t>
  </si>
  <si>
    <t>Ts Quy Nhơn - Quốc VCB Gia Lai</t>
  </si>
  <si>
    <t>010/2026/N03-1000/DN</t>
  </si>
  <si>
    <t>VCB Gia Lai - Mr. Biển - 0987531815</t>
  </si>
  <si>
    <t>Ông Nguyễn Trần Hữu Phát - 0976679037 (Thu tiền)</t>
  </si>
  <si>
    <t>Phường Buôn Ma Thuột, tỉnh Đắk Lắk.</t>
  </si>
  <si>
    <t>Thửa đất số 368 (thửa cũ 87), tờ bản đồ số 83 (tờ cũ 33), tại địa chỉ xã Ea Tul, huyện Cư M'gar, tỉnh Đắk Lắk.</t>
  </si>
  <si>
    <t>Làm cơ sở tham khảo để thế chấp vay vốn tại SeABank</t>
  </si>
  <si>
    <t>3.080.000</t>
  </si>
  <si>
    <t>Ba triệu không trăm tám mươi ngàn đồng chẵn.</t>
  </si>
  <si>
    <t>Ts Ea Tul - Anh Thi Seabank</t>
  </si>
  <si>
    <t>010/2026/N03-1005/DN</t>
  </si>
  <si>
    <t>Seabank Đắk Lắk - Mr. Thi - 0905398488</t>
  </si>
  <si>
    <t>Ông Lê Văn Được - 0963466599 (Thu tiền)</t>
  </si>
  <si>
    <t>Số 129 đường Võ Nguyên Giáp, Phường Đăk Cấm, tỉnh Quảng Ngãi.</t>
  </si>
  <si>
    <t>Thửa đất số 161, tờ bản đồ số 16; tại địa chỉ Tổ 2, phường Duy Tân, thành phố Kon Tum, tỉnh Kon Tum.</t>
  </si>
  <si>
    <t>Làm cơ sở tham khảo để thế chấp vay vốn tại Sacombank</t>
  </si>
  <si>
    <t>2.900.000</t>
  </si>
  <si>
    <t>Hai triệu chín trăm ngàn đồng chẵn.</t>
  </si>
  <si>
    <t>Ts Kon Tum</t>
  </si>
  <si>
    <t>010/2026/N03-1004/DN</t>
  </si>
  <si>
    <t>Sacombank Gia Lai - Mr Sơn - 0935886881</t>
  </si>
  <si>
    <t>Bà Trịnh Thị Thu - 0978860490 (Thu tiền)</t>
  </si>
  <si>
    <t>Xã Biển Hồ, tỉnh Gia Lai</t>
  </si>
  <si>
    <t>Thửa đất số 219, tờ bản đồ số 18; tại địa chỉ xã Minh Tâm, huyện Dầu Tiếng, tỉnh Bình Dương.</t>
  </si>
  <si>
    <t>Ts Dầu Tiếng Bình Dương - Điệp VCB Gia Lai</t>
  </si>
  <si>
    <t>010/2026/N03-0065</t>
  </si>
  <si>
    <t>CÔNG TY TNHH QUẢN LÝ NỢ VÀ KHAI THÁC TÀI SẢN NGÂN HÀNG TMCP QUÂN ĐỘI - CHI NHÁNH MIỀN TRUNG VÀ TÂY NGUYÊN</t>
  </si>
  <si>
    <t>Thửa đất số 20, tờ bản đồ số 39; tại địa chỉ tại xã Ea Sar, huyện Ea Kar, tỉnh Đắk Lắk.</t>
  </si>
  <si>
    <t>Làm cơ sở tham khảo để xử lý tài sản đảm bảo tại ngân hàng</t>
  </si>
  <si>
    <t>2.530.000</t>
  </si>
  <si>
    <t>Hai triệu năm trăm ba mươi ngàn đồng chẵn.</t>
  </si>
  <si>
    <t>Ts xử lý nợ Ea Kar - Khách Hàng Đoàn Công Thỏa - Anh Hải MB AMC</t>
  </si>
  <si>
    <t>010/2026/N03-1011/DN</t>
  </si>
  <si>
    <t>MB AMC - Mr. Hải - 0967243676</t>
  </si>
  <si>
    <t>Ông Nguyễn Thanh Hải - 0984742569 (Thu tiền)</t>
  </si>
  <si>
    <t>Phường An Khê, tỉnh Gia Lai</t>
  </si>
  <si>
    <t>Thửa đất số 267 tờ bản đồ số 10 địa chỉ tại tổ dân phố 4 Tây Sơn, phường An Khê, tỉnh Gia Lai.</t>
  </si>
  <si>
    <t>Làm cơ sở tham khảo để thế chấp vay vốn tại ngân hàng chính sách xã hội tỉnh Gia Lai</t>
  </si>
  <si>
    <t>2.200.000</t>
  </si>
  <si>
    <t>Hai triệu hai trăm ngàn đồng chẵn.</t>
  </si>
  <si>
    <t>Hs Vay Chính sách An Khê</t>
  </si>
  <si>
    <t>010/2026/N03-1012/DN</t>
  </si>
  <si>
    <t>NHCS An Khê - Ms Như - 0905505717</t>
  </si>
  <si>
    <t>Bà Phạm Thị Nhiệm - 0905260396 (Thu tiền)</t>
  </si>
  <si>
    <t>K654/4B Trưng Nữ Vương, Phường Hòa Cường, Tp. Đà Nẵng</t>
  </si>
  <si>
    <t>Giá trị quyền sử dụng đất tại thửa đất số 26, tờ bản đồ số 457; địa chỉ Tổ 4, phường Khuê Mỹ, quận Ngũ Hành Sơn, Tp. Đà Nẵng (Nay là phường Ngũ Hành Sơn, Tp. Đà Nẵng).</t>
  </si>
  <si>
    <t>Làm cơ sở tham khảo để thế chấp vay vốn tại Agribank</t>
  </si>
  <si>
    <t>2.850.000</t>
  </si>
  <si>
    <t>Hai triệu tám trăm năm mươi ngàn đồng chẵn.</t>
  </si>
  <si>
    <t>Ts Đà Nẵng - Chị Châu Agribank Hội An</t>
  </si>
  <si>
    <t>010/2026/N03-1013/DN</t>
  </si>
  <si>
    <t>Agribank Đông Gia Lai - Mr Lâm - 0987694599</t>
  </si>
  <si>
    <t>Bà Hoàng Thị Lê Na - 0913712769 (Thu tiền)</t>
  </si>
  <si>
    <t>Xã Pơng Drang, tỉnh Đắk Lắk</t>
  </si>
  <si>
    <t>Giá trị quyền sử dụng đất tại thửa đất số 10, tờ bản đồ số 200; địa chỉ phường Buôn Hồ, tỉnh Đắk Lắk.</t>
  </si>
  <si>
    <t>Ts Buôn Hồ - Vi VCB Bắc Đắk Lắk</t>
  </si>
  <si>
    <t>010/2026/N03-1016/DN</t>
  </si>
  <si>
    <t>VCB Bắc Đắk Lắk - Mr. Tấn - 0932418888</t>
  </si>
  <si>
    <t>CÔNG TY TNHH QUẢN LÝ NỢ VÀ KHAI THÁC TÀI SẢN NGÂN HÀNG TMCP QUÂN ĐỘI - CHI NHÁNH MIỀN TRUNG VÀ TÂY NGUYÊN (Thu tiền)</t>
  </si>
  <si>
    <t>Xã Ea Ning, tỉnh Đắk Lắk</t>
  </si>
  <si>
    <t>Hệ thống điện mặt trời 300kWp.</t>
  </si>
  <si>
    <t xml:space="preserve">Làm cơ sở tham khảo để xử lý tài sản đảm bảo tại ngân hàng </t>
  </si>
  <si>
    <t>5.500.000</t>
  </si>
  <si>
    <t>Năm triệu năm trăm ngàn đồng chẵn.</t>
  </si>
  <si>
    <t xml:space="preserve">Hệ thống điện mặt trời </t>
  </si>
  <si>
    <t>010/2026/N03.0103/DN</t>
  </si>
  <si>
    <t>CÔNG TY TRÁCH NHIỆM HỮU HẠN Ô TÔ CÔNG THÀNH - 0905226968 (Thu tiền)</t>
  </si>
  <si>
    <t>Số 84-86-88-90 Ybih Aleo, phường Buôn Ma Thuột, tỉnh Đắk Lắk</t>
  </si>
  <si>
    <t>Giá trị lợi thế quyền thuê đất và công trình xây dựng tại Thửa đất số 29, tờ bản đồ số 207; tại địa chỉ: Phường Tân An, tỉnh Đắk Lắk.</t>
  </si>
  <si>
    <t>Làm cơ sở tham khảo để thế chấp vay vốn tại ngân hàng BIDV</t>
  </si>
  <si>
    <t>8.250.000</t>
  </si>
  <si>
    <t>Tám triệu hai trăm năm mươi ngàn đồng chẵn.</t>
  </si>
  <si>
    <t>Hs Lợi Thế Quyền Thuê - A Thái BIDV Đăk Lăk</t>
  </si>
  <si>
    <t>010/2026/N03-1018/DN</t>
  </si>
  <si>
    <t>BIDV Đắk Lắk - Anh Hải - 0902755000</t>
  </si>
  <si>
    <t>Ông Phan Đức Trung - 0982458585 (Thu tiền)</t>
  </si>
  <si>
    <t>Quyền sử dụng đất tọa lạc tại thửa đất số 177, tờ bản đồ số 25; địa chỉ: phường Tân Lập, tỉnh Đắk Lắk.</t>
  </si>
  <si>
    <t>Ts Vay Seabank - Vũ Seabank</t>
  </si>
  <si>
    <t>010/2026/N03-1023/DN</t>
  </si>
  <si>
    <t>SeaBank Đắk Lắk - Mr. Vũ - 0934856816</t>
  </si>
  <si>
    <t>NGÂN HÀNG THƯƠNG MẠI CỔ PHẦN NGOẠI THƯƠNG VIỆT NAM - CHI NHÁNH GIA LAI (Thu tiền)</t>
  </si>
  <si>
    <t>68 Trần Cao Vân, phường Buôn Ma Thuột, tỉnh Đắk Lắk.</t>
  </si>
  <si>
    <t>Thửa đất số 303+304 tở bản đổ số 74, tại xã Kdang, tỉnh Gia Lai.</t>
  </si>
  <si>
    <t>Ts xử lý nợ Kdang - A Hùng VCB Gia Lai</t>
  </si>
  <si>
    <t>010/2026/N03-1024/DN</t>
  </si>
  <si>
    <t>VCB Gia Lai - Mr. Chí - 0989257355</t>
  </si>
  <si>
    <t>NGÂN HÀNG THƯƠNG MẠI CỔ PHẦN ĐẦU TƯ VÀ PHÁT TRIỂN VIỆT NAM - CHI NHÁNH ĐÔNG ĐẮK LẮK (Thu tiền)</t>
  </si>
  <si>
    <t>51/12 Nguyễn Tất Thành, phường Tân An, tỉnh Đắk Lắk</t>
  </si>
  <si>
    <t>Thửa đất số 796 (tách ra từ thửa 789) tở bản đổ số 42; tại địa chỉ: Xã M’Drắk, tỉnh Đắk Lắk.</t>
  </si>
  <si>
    <t>4.000.000</t>
  </si>
  <si>
    <t>Bốn triệu đồng chẵn.</t>
  </si>
  <si>
    <t>HS Xử lý nợ M'Drăk - Vân lớn gửi</t>
  </si>
  <si>
    <t>010/2026/N03-1027/DN</t>
  </si>
  <si>
    <t>BIDV Đông Đắk Lăk - Mr. Sơn - 0964694747</t>
  </si>
  <si>
    <t>ÔNG LƯU CHÍ HÒA - 0934999998 (Thu tiền)</t>
  </si>
  <si>
    <t>Xã Tuy Phước, tỉnh Gia Lai</t>
  </si>
  <si>
    <t>Thửa đất số 29+23, tờ bản đồ 13; tại địa chỉ Phường Buôn Ma Thuột, tỉnh Đắk Lắk.</t>
  </si>
  <si>
    <t>Ts Đăk Lăk - KH Lưu Chí Hòa - Anh Cường VCB Bắc GL</t>
  </si>
  <si>
    <t>010/2026/N03-1028/DN</t>
  </si>
  <si>
    <t>VCB Gia Lai - Mr Cường - 0905569787</t>
  </si>
  <si>
    <t>Ông Hồ Quốc Trung - 0914215966 (Thu tiền)</t>
  </si>
  <si>
    <t>219 Trường Chinh, phường Hội Phú, tỉnh Gia Lai</t>
  </si>
  <si>
    <t>Thửa đất số 66, tờ bản đồ số 21; tại địa chỉ Tổ 04, phường Hội Thương, thành phố Pleiku, tỉnh Gia Lai.</t>
  </si>
  <si>
    <t>7.150.000</t>
  </si>
  <si>
    <t>Bảy triệu một trăm năm mươi ngàn đồng chẵn.</t>
  </si>
  <si>
    <t>Ts Bờ Kè - Anh Hòa</t>
  </si>
  <si>
    <t>010/2026/N03-1029/DN</t>
  </si>
  <si>
    <t>VCB Gia Lai - Mr Bảo - 0988849465</t>
  </si>
  <si>
    <t>5.02 Lô G KDC Miếu Nổi, phường Gia Định, thành phố Hồ Chí Minh</t>
  </si>
  <si>
    <t>Thửa đất số 35+36 tờ bản đồ số 28; tại địa chỉ 11b Tăng Bạt Hổ, phường Diên Hồng, tỉnh Gia Lai.</t>
  </si>
  <si>
    <t>11.000.000</t>
  </si>
  <si>
    <t>Mười một triệu đồng chẵn.</t>
  </si>
  <si>
    <t>Ts Tăng Bạt Hổ - Chị Kim Anh BIDV Phố Núi</t>
  </si>
  <si>
    <t>010/2026/N03-1033/DN</t>
  </si>
  <si>
    <t>BIDV Phố Núi - Chị Kim Anh - 0973200002</t>
  </si>
  <si>
    <t>Bà Bùi Nữ A Vy - 0905222125 (Thu tiền)</t>
  </si>
  <si>
    <t>TDP Lộc Hải, Cam Lộc, Cam Ranh, Khánh Hoà</t>
  </si>
  <si>
    <t>Thửa đất số 93, tờ bản đồ 37 tại địa chỉ Lô BT.01-07 Khu đô thị ven sông Tắc, xã Vĩnh Thái, thành phố Nha Trang, tỉnh Khánh Hòa.</t>
  </si>
  <si>
    <t>7.500.000</t>
  </si>
  <si>
    <t>Bảy triệu năm trăm ngàn đồng chẵn.</t>
  </si>
  <si>
    <t>Ts Khánh Hòa - Thảo Hoàng Quân</t>
  </si>
  <si>
    <t>010/2026/N03-1036/DN</t>
  </si>
  <si>
    <t>VCB Đắk Lắk PGD Phước An - Mr. Chiến - 0905726363</t>
  </si>
  <si>
    <t>Bà Hà Thị Huyền Trang - 0905222125 (Thu tiền)</t>
  </si>
  <si>
    <t>Phường Pleiku, tỉnh Gia Lai</t>
  </si>
  <si>
    <t>Thửa đất số 184 tờ bản đồ số 93; tại địa chỉ Khu dân cư B - Đảo 1 Bắc sông Hà Thanh, phường Quy Nhơn, tỉnh Gia Lai.</t>
  </si>
  <si>
    <t>Ts Quy Nhơn - Linh VCB Bắc Gia Lai</t>
  </si>
  <si>
    <t>010/2026/N03-1037/DN</t>
  </si>
  <si>
    <t>VCB Gia Lai - Mr Hoàng - 0905731389</t>
  </si>
  <si>
    <t>Phường Pleiku, tỉnh Gia Lai.</t>
  </si>
  <si>
    <t>Thửa đất số 371, tờ bản đồ số 75; tại địa chỉ xã Ia Ka, tỉnh Gia Lai.
Thửa đất số 372, tờ bản đồ số 75; tại địa chỉ xã Ia Ka, tỉnh Gia Lai.</t>
  </si>
  <si>
    <t>4.400.000</t>
  </si>
  <si>
    <t>Bốn triệu bốn trăm ngàn đồng chẵn.</t>
  </si>
  <si>
    <t>2 Ts rẫy Ia Kia - Linh VCB Bắc Gia Lai</t>
  </si>
  <si>
    <t>010/2026/N03-1041/DN</t>
  </si>
  <si>
    <t>Ông Nguyễn Huy Hoàng - 0905222125 (Thu tiền)</t>
  </si>
  <si>
    <t>Xã Ea Ktur, tỉnh Đắk Lắk</t>
  </si>
  <si>
    <t>Thửa đất số 5246 tờ bản đổ số 25 tại địa chỉ xã Ea Ktur, tỉnh Đắk Lắk.</t>
  </si>
  <si>
    <t>Ts Ea Ktur - Anh Phước VCB Phú Quốc</t>
  </si>
  <si>
    <t>010/2026/N03-1042/DN</t>
  </si>
  <si>
    <t>Ông Đoàn Minh Tuấn (Thu tiền)</t>
  </si>
  <si>
    <t>Xã Ea Na, tỉnh Đắk Lắk</t>
  </si>
  <si>
    <t>Thửa đất số 48 tờ bản đồ số 22 tại phường Tân An, tỉnh Đắk Lắk.</t>
  </si>
  <si>
    <t>Ts Tân An - Hưởng Seabank</t>
  </si>
  <si>
    <t>010/2026/N03-1044/DN</t>
  </si>
  <si>
    <t>SeaBank Đắk Lắk - Mr. Trí - 0918382480</t>
  </si>
  <si>
    <t>399 – 403 Trần Hưng Đạo, phường Quy Nhơn, tỉnh Gia Lai</t>
  </si>
  <si>
    <t>Thửa đất số 233+234 tờ bản đồ số 51 tại địa chỉ xã Kdang, tỉnh Gia Lai</t>
  </si>
  <si>
    <t>Kho Loan Bang - Anh Hùng VCB Gia Lai</t>
  </si>
  <si>
    <t>010/2026/N03-1045/DN</t>
  </si>
  <si>
    <t>Xã Triệu Phong, tỉnh Quảng Trị</t>
  </si>
  <si>
    <t>Thửa đất số 12, tờ bản đồ số 72 tại địa chỉ xã Gào, tỉnh Gia Lai.
Thửa đất số 17, tờ bản đồ số 72 tại địa chỉ xã Gào, tỉnh Gia Lai.
Thửa đất số 18, tờ bản đồ số 72 tại địa chỉ xã Gào, tỉnh Gia Lai</t>
  </si>
  <si>
    <t>Hs Xử lý nợ Ia Pia - Anh Hiệp VCB Gia Lai</t>
  </si>
  <si>
    <t>010/2026/N03-1049/DN</t>
  </si>
  <si>
    <t>Ông Nguyễn Đăng Quý - 0905226968 (Thu tiền)</t>
  </si>
  <si>
    <t>Xã Đak Đoa, tỉnh Gia Lai</t>
  </si>
  <si>
    <t>Thửa đất số 322, tờ bản đồ 66 tại địa chỉ Khu vực Dăm A Nhan, xã Glar, huyện Đak Đoa, tỉnh Gia Lai.
Thửa đất số 60, tờ bản đồ 68 tại địa chỉ Làng Dôr I, xã Glar, huyện Đak Đoa, tỉnh Gia Lai.</t>
  </si>
  <si>
    <t>6.600.000</t>
  </si>
  <si>
    <t>Sáu triệu sáu trăm ngàn đồng chẵn.</t>
  </si>
  <si>
    <t>Hs xử lý nợ ông Quý - Anh Cường BIDV Nam Gia Lai</t>
  </si>
  <si>
    <t>010/2026/N03-1051/DN</t>
  </si>
  <si>
    <t>BIDV Nam Gia Lai - Mr. Đạt - 0977842687</t>
  </si>
  <si>
    <t>CÔNG TY TNHH MTV NGUYÊN KHÔI KON TUM - 0766596868 (Thu tiền)</t>
  </si>
  <si>
    <t>Lô C2A, Khu Công Nghiệp Hoà Bình, phường Đăk BLa, tỉnh Quảng Ngãi</t>
  </si>
  <si>
    <t>Trạm trộn bê tông xi măng 90m3/h</t>
  </si>
  <si>
    <t>2.500.000</t>
  </si>
  <si>
    <t>Hai triệu năm trăm ngàn đồng chẵn.</t>
  </si>
  <si>
    <t>Trạm trộn bê tông - Tín VCB Bắc Đắk Lắk</t>
  </si>
  <si>
    <t>010/2026/N03.0110/DN</t>
  </si>
  <si>
    <t>Bà Lê Thị Kiều Trang - 0942322885 (Thu tiền)</t>
  </si>
  <si>
    <t>Phường Thống Nhất, tỉnh Gia Lai</t>
  </si>
  <si>
    <t>Giá trị quyền sử dung đất tại Thửa đất số 674, tờ bản đồ số 42, tại địa chỉ Xóm Đông, xã Phú Nghĩa, thành phố Hà Nội.</t>
  </si>
  <si>
    <t>Ts Hà Nội - Thảo VCB Bắc Đắk Lắk</t>
  </si>
  <si>
    <t>010/2026/C03-0445</t>
  </si>
  <si>
    <t>VCB Đắk Lắk - Chúc Phương - 0906847503</t>
  </si>
  <si>
    <t>Công Ty TNHH Công Danh - 0967097789 (Thu tiền)</t>
  </si>
  <si>
    <t>Lô HH03, Đường Tố Hữu, phường Hà Đông, thành phố Hà Nội.</t>
  </si>
  <si>
    <t>Giá trị công trình xây dựng tại thửa đất số 01, tờ bản đồ số 50, địa chỉ Lô C6, đường quy hoạch A3-A5, khu CN Hóà Bình, P. Lê Lợi, TP. Kon Tum</t>
  </si>
  <si>
    <t>Hs Chị Quỳnh VCB Đắk Lắk</t>
  </si>
  <si>
    <t>010/2026/N03-1053/DN</t>
  </si>
  <si>
    <t>Sacombank Kon Tum - Mr. Luân - 0967097789</t>
  </si>
  <si>
    <t>Công ty cổ phần Sâm Ngọc Linh Kon Tum (Thu tiền)</t>
  </si>
  <si>
    <t>39 đường 8, KP4, Hiệp Bình Chánh, phường Tăng Nhơn Phú, thành phố Hồ Chí Minh</t>
  </si>
  <si>
    <t>Giá trị quyền sử dung đất và công trình xây dựng tại Thửa đất số 226, tờ bản đồ số 19, tại địa chỉ đường Hoàng Văn Thụ, phường Quyết Thắng, thành phố Kon Tum, tỉnh Kon Tum.</t>
  </si>
  <si>
    <t>TS Ia Pếch</t>
  </si>
  <si>
    <t>010/2026/N03-1054/DN</t>
  </si>
  <si>
    <t>Ông Vũ Hà Việt Phương - 0943345693</t>
  </si>
  <si>
    <t>Phường Tân An, tỉnh Đắk Lắk</t>
  </si>
  <si>
    <t>Thửa đất số 690, tờ bản đồ số: 81, Địa chỉ: xã CuorDang, tỉnh Đắk Lak</t>
  </si>
  <si>
    <t>Ts Seabank - Trang Seabank</t>
  </si>
  <si>
    <t>010/2026/N03-1056/DN</t>
  </si>
  <si>
    <t>Ông Nay Y Bình - 0822328285 (Thu tiền)</t>
  </si>
  <si>
    <t>Xã Chư Sê, tỉnh Gia Lai</t>
  </si>
  <si>
    <t>Thửa đất số 378, tờ bản đồ số 177, địa chỉ Thôn Queng Mép, Xã Chư Sê, tỉnh Gia Lai.</t>
  </si>
  <si>
    <t>Ts Hẻm Phạm Văn Đồng - Chị Thúy Vietinbank</t>
  </si>
  <si>
    <t>010/2026/N03-1057/DN</t>
  </si>
  <si>
    <t>NHCS Gia Lai - Ms Huyền - 0942671909</t>
  </si>
  <si>
    <t>Ông Lê Văn Tâm - 0973382377 (Thu tiền)</t>
  </si>
  <si>
    <t>xã Ea Tul, tỉnh Đắk Lắk</t>
  </si>
  <si>
    <t>Thửa đất số 254, tờ bản đồ số 2; tại địa chỉ xã Ea Tul, tỉnh Đăk Lắk.</t>
  </si>
  <si>
    <t>3.000.000</t>
  </si>
  <si>
    <t>Ba triệu đồng chẵn.</t>
  </si>
  <si>
    <t>Ts Đắk Lắk</t>
  </si>
  <si>
    <t>010/2026/N03-1060/DN</t>
  </si>
  <si>
    <t>VCB Đắk Lắk - Mr. Phú - 0906510379</t>
  </si>
  <si>
    <t>CÔNG TY CỔ PHẦN CHẾ BIẾN ĐÁ IBS - 02563838755</t>
  </si>
  <si>
    <t>Quốc lộ 19, khu vực Tân Hòa, phường An Nhơn Nam, tỉnh Gia Lai</t>
  </si>
  <si>
    <t>Combo tài sản.</t>
  </si>
  <si>
    <t>35.000.000</t>
  </si>
  <si>
    <t>Ba mươi lăm triệu đồng chẵn.</t>
  </si>
  <si>
    <t>Combo ts Cty Đá Việt</t>
  </si>
  <si>
    <t>010/2026/N03.0112/DN</t>
  </si>
  <si>
    <t>VCB Gia Lai - Mr. Huệ - 0982527259</t>
  </si>
  <si>
    <t>Bà Lê Thị Hương - 0963040584 (Thu tiền)</t>
  </si>
  <si>
    <t>Phường Vinh Phú, tỉnh Nghệ An</t>
  </si>
  <si>
    <t>Quyền sử dụng đất tọa lạc tại thửa đất số 1585, tờ bản đồ số 9, tại địa chỉ Mai Hắc Đế, thị trấn Quảng Phú, huyện Cư M'gar, tinh Đắk Lắk.</t>
  </si>
  <si>
    <t>2.640.000</t>
  </si>
  <si>
    <t>Hai triệu sáu trăm bốn mươi ngàn đồng chẵn.</t>
  </si>
  <si>
    <t>Ts Mai Hắc Đế - Quảng Phú - Anh Bắc VCB Vinh</t>
  </si>
  <si>
    <t>010/2026/N03-1062/DN</t>
  </si>
  <si>
    <t>VCB Đắk Lắk - Mr. Chiến - 0905816363</t>
  </si>
  <si>
    <t>Ông Nguyễn Thành Thủy</t>
  </si>
  <si>
    <t>Xã Đức An, tỉnh Lâm Đồng</t>
  </si>
  <si>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</si>
  <si>
    <t>Ts Ia Krái - Anh Dũng Sacom Kon Tum</t>
  </si>
  <si>
    <t>010/2026/N03-1063/DN</t>
  </si>
  <si>
    <t>Ông Nguyễn Thành Trung - 0905226968 (Thu tiền)</t>
  </si>
  <si>
    <t>Số 66 Nguyễn Hữu Thọ, phường Nam Nha Trang, tỉnh Khánh Hòa</t>
  </si>
  <si>
    <t>Thửa đất số 226, tờ bản đồ số 15, địa chỉ: Thôn Xuân Lập, xã Cam Hiệp, tỉnh Khánh Hòa</t>
  </si>
  <si>
    <t>Làm cơ sở tham khảo để thế chấp vay vốn tại VP Bank</t>
  </si>
  <si>
    <t>Hs VP Khánh Hòa - Sơn béo</t>
  </si>
  <si>
    <t>010/2026/N03-1066/DN</t>
  </si>
  <si>
    <t>VP Bank - Gia Lai - Chị Ngọc - 0972638579</t>
  </si>
  <si>
    <t>CÔNG TY TNHH MTV KHOÁNG SẢN SXK (Thu tiền)</t>
  </si>
  <si>
    <t>207/48 Đường Trần Bình Trọng, tổ dân phố 14, khu phố 2, phường Chợ Quán, thành phố Hồ Chí Minh</t>
  </si>
  <si>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</si>
  <si>
    <t>8.800.000</t>
  </si>
  <si>
    <t>Tám triệu tám trăm ngàn đồng chẵn.</t>
  </si>
  <si>
    <t>Combo xe bồn Bê Tông - Tín VCB Bắc Gia Lai</t>
  </si>
  <si>
    <t>010/2026/N03.0113/DN</t>
  </si>
  <si>
    <t>Ông Trần Quốc Đạt - 090 2185703 (Thu tiền)</t>
  </si>
  <si>
    <t>Số 431 đường Nguyễn Huệ, phường Quy Nhơn, tỉnh Gia Lai</t>
  </si>
  <si>
    <t>Thửa đất số Lô 2a Khu DC1, tờ bản đồ số -/-; tại địa chỉ Khu đất Trung đoàn vận tải 655, phường Quy Nhơn Nam, tỉnh Gia Lai.</t>
  </si>
  <si>
    <t>Làm cơ sở tham khảo để thế chấp vay vốn tại Vietinbank</t>
  </si>
  <si>
    <t>10.000.000</t>
  </si>
  <si>
    <t>Mười triệu đồng chẵn.</t>
  </si>
  <si>
    <t>Ts vay Vietin - Kiệt Cenvalue</t>
  </si>
  <si>
    <t>010/2026/N03-0168/DN</t>
  </si>
  <si>
    <t>Vietinbank Gia Lai - Ms. Huyền - 0942670909</t>
  </si>
  <si>
    <t xml:space="preserve">VP Bank - Đắk Nông - </t>
  </si>
  <si>
    <t>CÔNG TY TNHH HM ECOFOAM - 0973723757 (Thu tiền)</t>
  </si>
  <si>
    <t>Thôn Kon Rơ Lang, Xã Đăk Rơ Wa, Tỉnh Quảng Ngãi</t>
  </si>
  <si>
    <t>Xe tải thùng kín nhãn hiệu KIA, số loại FRONTIER, biển số đăng ký 76A-460.82.</t>
  </si>
  <si>
    <t>Xe ô tô</t>
  </si>
  <si>
    <t>010/2026/N03.0115/DN</t>
  </si>
  <si>
    <t>Sacombank Gia Lai - Mr Thành - 0966860071</t>
  </si>
  <si>
    <t>010/2024/D10-0082</t>
  </si>
  <si>
    <t>Bà Phùng Thị Loan - 0989257355</t>
  </si>
  <si>
    <t>274B Lê Hồng Phong, phường Quy Nhơn, tỉnh Gia Lai</t>
  </si>
  <si>
    <t>Thửa đất số 94+95, tờ bản đồ 15 tại địa chỉ 274B Lê Hồng Phong, phường Quy Nhơn, tỉnh Gia Lai.</t>
  </si>
  <si>
    <t>010/2026/N03-1069/DN</t>
  </si>
  <si>
    <t>Bà Mai Thị Hạ - 0989257355 (Thu tiền)</t>
  </si>
  <si>
    <t>Ô 24, Lô 1196, số 66 đường Nguyễn Hữu Thọ, phường Nam Nha Trang, tỉnh Khánh Hoà</t>
  </si>
  <si>
    <t>Thửa đất số 261, tờ bản đồ số 10 tại địa chỉ thôn Cây Xoài, xã Suối Tân, huyện Cam Lâm, tỉnh Khánh Hòa</t>
  </si>
  <si>
    <t>TS Khánh Hòa - Chị Dung VP</t>
  </si>
  <si>
    <t>010/2026/N03-1070/DN</t>
  </si>
  <si>
    <t>CÔNG TY TNHH SX TM HÀ KHANG WINDOWS - 0347990001 (Thu tiền)</t>
  </si>
  <si>
    <t>469B đường Phan Đình Phùng, Phường Đăk Cấm, Tỉnh Quảng Ngãi</t>
  </si>
  <si>
    <t>Xe Ô tô con nhãn hiệu KIA, số loại SELTOS, biển số đăng ký 76A-414.52.</t>
  </si>
  <si>
    <t>Xe Kia - Anh Sỹ Sacom Đăk Bla</t>
  </si>
  <si>
    <t>010/2026/N03.0116/DN</t>
  </si>
  <si>
    <t>Sacombank Gia Lai - Mr Phú - 0347990001</t>
  </si>
  <si>
    <t>Ông Nguyễn Văn Ngọc Đa - 0942374778 (Thu tiền)</t>
  </si>
  <si>
    <t>Thôn Vĩnh Phú, Xã Cam Lâm, Tỉnh Khánh Hòa</t>
  </si>
  <si>
    <t>Thửa đất số 298, tờ bản đồ số 256 tại địa chỉ: Thon Lap Định 1, Xã Cam Lâm, Tinh Khánh Hòa.</t>
  </si>
  <si>
    <t>010/2026/N03-1071/DN</t>
  </si>
  <si>
    <t>Ghi Chú cá nhân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</si>
</sst>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_);_(* \(#,##0\);_(* &quot;-&quot;??_);_(@_)"/>
    <numFmt numFmtId="165" formatCode="_-* #,##0_-;\-* #,##0_-;_-* &quot;-&quot;??_-;_-@_-"/>
  </numFmts>
  <fonts count="7" x14ac:knownFonts="1">
    <font>
      <sz val="11"/>
      <color theme="1"/>
      <name val="Arial"/>
      <family val="2"/>
      <scheme val="minor"/>
    </font>
    <font>
      <sz val="11"/>
      <color theme="1"/>
      <name val="Arial"/>
      <family val="2"/>
      <scheme val="minor"/>
    </font>
    <font>
      <sz val="10"/>
      <color rgb="FF000000"/>
      <name val="Arial"/>
      <family val="2"/>
      <scheme val="minor"/>
    </font>
    <font>
      <b/>
      <sz val="10"/>
      <color rgb="FF000000"/>
      <name val="Arial"/>
      <family val="2"/>
      <scheme val="minor"/>
    </font>
    <font>
      <b/>
      <sz val="10"/>
      <color theme="1"/>
      <name val="Arial"/>
      <family val="2"/>
      <scheme val="minor"/>
    </font>
    <font>
      <sz val="10"/>
      <color theme="1"/>
      <name val="Arial"/>
      <family val="2"/>
      <scheme val="minor"/>
    </font>
    <font>
      <sz val="10"/>
      <name val="Arial"/>
      <family val="2"/>
      <scheme val="minor"/>
    </font>
  </fonts>
  <fills count="4">
    <fill>
      <patternFill patternType="none"/>
    </fill>
    <fill>
      <patternFill patternType="gray125"/>
    </fill>
    <fill>
      <patternFill patternType="solid">
        <fgColor theme="0"/>
        <bgColor indexed="64"/>
      </patternFill>
    </fill>
    <fill>
      <patternFill patternType="solid">
        <fgColor theme="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000000"/>
      </left>
      <right/>
      <top/>
      <bottom style="thin">
        <color rgb="FF000000"/>
      </bottom>
      <diagonal/>
    </border>
    <border>
      <left style="thin">
        <color auto="1"/>
      </left>
      <right style="thin">
        <color auto="1"/>
      </right>
      <top/>
      <bottom style="thin">
        <color auto="1"/>
      </bottom>
      <diagonal/>
    </border>
    <border>
      <left/>
      <right/>
      <top style="thin">
        <color auto="1"/>
      </top>
      <bottom style="thin">
        <color auto="1"/>
      </bottom>
      <diagonal/>
    </border>
  </borders>
  <cellStyleXfs count="5">
    <xf numFmtId="0" fontId="0" fillId="0" borderId="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0" fontId="2" fillId="0" borderId="0"/>
  </cellStyleXfs>
  <cellXfs count="58">
    <xf numFmtId="0" fontId="0" fillId="0" borderId="0" xfId="0"/>
    <xf numFmtId="0" fontId="2" fillId="2" borderId="0" xfId="4" applyFill="1" applyAlignment="1">
      <alignment horizontal="center" vertical="center"/>
    </xf>
    <xf numFmtId="0" fontId="2" fillId="2" borderId="0" xfId="4" applyFill="1" applyAlignment="1">
      <alignment horizontal="center" vertical="center" wrapText="1"/>
    </xf>
    <xf numFmtId="0" fontId="4" fillId="3" borderId="1" xfId="4" applyFont="1" applyFill="1" applyBorder="1" applyAlignment="1">
      <alignment horizontal="center" vertical="center"/>
    </xf>
    <xf numFmtId="0" fontId="3" fillId="2" borderId="1" xfId="4" applyFont="1" applyFill="1" applyBorder="1" applyAlignment="1">
      <alignment horizontal="center" vertical="center" wrapText="1"/>
    </xf>
    <xf numFmtId="0" fontId="3" fillId="2" borderId="2" xfId="4" applyFont="1" applyFill="1" applyBorder="1" applyAlignment="1">
      <alignment horizontal="center" vertical="center"/>
    </xf>
    <xf numFmtId="0" fontId="3" fillId="2" borderId="1" xfId="4" applyFont="1" applyFill="1" applyBorder="1" applyAlignment="1">
      <alignment horizontal="center" vertical="center"/>
    </xf>
    <xf numFmtId="0" fontId="3" fillId="2" borderId="3" xfId="4" applyFont="1" applyFill="1" applyBorder="1" applyAlignment="1">
      <alignment horizontal="center" vertical="center"/>
    </xf>
    <xf numFmtId="0" fontId="3" fillId="2" borderId="4" xfId="4" applyFont="1" applyFill="1" applyBorder="1" applyAlignment="1">
      <alignment horizontal="center" vertical="center"/>
    </xf>
    <xf numFmtId="0" fontId="2" fillId="2" borderId="0" xfId="4" applyFill="1"/>
    <xf numFmtId="0" fontId="5" fillId="2" borderId="5" xfId="4" applyFont="1" applyFill="1" applyBorder="1" applyAlignment="1">
      <alignment horizontal="center" vertical="center"/>
    </xf>
    <xf numFmtId="0" fontId="5" fillId="2" borderId="6" xfId="4" applyFont="1" applyFill="1" applyBorder="1" applyAlignment="1">
      <alignment horizontal="left" vertical="center" wrapText="1"/>
    </xf>
    <xf numFmtId="0" fontId="5" fillId="2" borderId="0" xfId="0" applyFont="1" applyFill="1" applyAlignment="1">
      <alignment vertical="center"/>
    </xf>
    <xf numFmtId="0" fontId="5" fillId="2" borderId="1" xfId="0" applyFont="1" applyFill="1" applyBorder="1" applyAlignment="1">
      <alignment vertical="center" wrapText="1"/>
    </xf>
    <xf numFmtId="0" fontId="5" fillId="2" borderId="2" xfId="0" applyFont="1" applyFill="1" applyBorder="1" applyAlignment="1">
      <alignment vertical="center"/>
    </xf>
    <xf numFmtId="3" fontId="2" fillId="2" borderId="1" xfId="0" applyNumberFormat="1" applyFont="1" applyFill="1" applyBorder="1" applyAlignment="1">
      <alignment horizontal="center" vertical="center"/>
    </xf>
    <xf numFmtId="3" fontId="5" fillId="2" borderId="7" xfId="0" applyNumberFormat="1" applyFont="1" applyFill="1" applyBorder="1" applyAlignment="1">
      <alignment vertical="center"/>
    </xf>
    <xf numFmtId="0" fontId="2" fillId="2" borderId="1" xfId="0" applyFont="1" applyFill="1" applyBorder="1" applyAlignment="1">
      <alignment horizontal="center" vertical="center" wrapText="1"/>
    </xf>
    <xf numFmtId="0" fontId="5" fillId="2" borderId="4" xfId="4" applyFont="1" applyFill="1" applyBorder="1" applyAlignment="1">
      <alignment horizontal="center" vertical="center"/>
    </xf>
    <xf numFmtId="0" fontId="5" fillId="2" borderId="1" xfId="4" applyFont="1" applyFill="1" applyBorder="1" applyAlignment="1">
      <alignment horizontal="center" vertical="center" wrapText="1"/>
    </xf>
    <xf numFmtId="0" fontId="2" fillId="2" borderId="0" xfId="4" applyFill="1" applyAlignment="1">
      <alignment vertical="center"/>
    </xf>
    <xf numFmtId="0" fontId="5" fillId="2" borderId="1" xfId="4" applyFont="1" applyFill="1" applyBorder="1" applyAlignment="1">
      <alignment horizontal="left" vertical="center" wrapText="1"/>
    </xf>
    <xf numFmtId="0" fontId="5" fillId="2" borderId="1" xfId="0" applyFont="1" applyFill="1" applyBorder="1" applyAlignment="1">
      <alignment horizontal="center" vertical="center"/>
    </xf>
    <xf numFmtId="164" fontId="2" fillId="2" borderId="0" xfId="1" applyNumberFormat="1" applyFont="1" applyFill="1" applyAlignment="1">
      <alignment horizontal="right" vertical="center"/>
    </xf>
    <xf numFmtId="165" fontId="2" fillId="2" borderId="0" xfId="1" applyNumberFormat="1" applyFont="1" applyFill="1" applyAlignment="1">
      <alignment horizontal="right" vertical="center"/>
    </xf>
    <xf numFmtId="10" fontId="2" fillId="2" borderId="0" xfId="4" applyNumberFormat="1" applyFill="1" applyAlignment="1">
      <alignment horizontal="right" vertical="center"/>
    </xf>
    <xf numFmtId="164" fontId="2" fillId="2" borderId="0" xfId="1" applyNumberFormat="1" applyFont="1" applyFill="1" applyAlignment="1">
      <alignment vertical="center"/>
    </xf>
    <xf numFmtId="0" fontId="2" fillId="2" borderId="1" xfId="0" applyFont="1" applyFill="1" applyBorder="1" applyAlignment="1">
      <alignment horizontal="center" vertical="center"/>
    </xf>
    <xf numFmtId="164" fontId="2" fillId="2" borderId="0" xfId="4" applyNumberFormat="1" applyFill="1"/>
    <xf numFmtId="165" fontId="2" fillId="2" borderId="0" xfId="1" applyNumberFormat="1" applyFont="1" applyFill="1" applyAlignment="1">
      <alignment vertical="center"/>
    </xf>
    <xf numFmtId="0" fontId="6" fillId="2" borderId="5" xfId="4" applyFont="1" applyFill="1" applyBorder="1" applyAlignment="1">
      <alignment horizontal="center" vertical="center"/>
    </xf>
    <xf numFmtId="0" fontId="6" fillId="2" borderId="1" xfId="4" applyFont="1" applyFill="1" applyBorder="1" applyAlignment="1">
      <alignment horizontal="left" vertical="center" wrapText="1"/>
    </xf>
    <xf numFmtId="0" fontId="6" fillId="2" borderId="1" xfId="0" applyFont="1" applyFill="1" applyBorder="1" applyAlignment="1">
      <alignment vertical="center" wrapText="1"/>
    </xf>
    <xf numFmtId="0" fontId="6" fillId="2" borderId="2" xfId="0" applyFont="1" applyFill="1" applyBorder="1" applyAlignment="1">
      <alignment vertical="center"/>
    </xf>
    <xf numFmtId="0" fontId="6" fillId="2" borderId="1" xfId="0" applyFont="1" applyFill="1" applyBorder="1" applyAlignment="1">
      <alignment horizontal="center" vertical="center"/>
    </xf>
    <xf numFmtId="3" fontId="6" fillId="2" borderId="7" xfId="0" applyNumberFormat="1" applyFont="1" applyFill="1" applyBorder="1" applyAlignment="1">
      <alignment vertical="center"/>
    </xf>
    <xf numFmtId="0" fontId="6" fillId="2" borderId="1" xfId="0" applyFont="1" applyFill="1" applyBorder="1" applyAlignment="1">
      <alignment horizontal="center" vertical="center" wrapText="1"/>
    </xf>
    <xf numFmtId="0" fontId="6" fillId="2" borderId="4" xfId="4" applyFont="1" applyFill="1" applyBorder="1" applyAlignment="1">
      <alignment horizontal="center" vertical="center"/>
    </xf>
    <xf numFmtId="164" fontId="6" fillId="2" borderId="0" xfId="4" applyNumberFormat="1" applyFont="1" applyFill="1" applyAlignment="1">
      <alignment horizontal="left" vertical="center"/>
    </xf>
    <xf numFmtId="0" fontId="6" fillId="2" borderId="0" xfId="4" applyFont="1" applyFill="1" applyAlignment="1">
      <alignment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165" fontId="2" fillId="2" borderId="0" xfId="4" applyNumberFormat="1" applyFill="1"/>
    <xf numFmtId="3" fontId="2" fillId="2" borderId="0" xfId="4" applyNumberFormat="1" applyFill="1"/>
    <xf numFmtId="165" fontId="2" fillId="2" borderId="0" xfId="1" applyNumberFormat="1" applyFont="1" applyFill="1"/>
    <xf numFmtId="164" fontId="2" fillId="2" borderId="0" xfId="4" applyNumberFormat="1" applyFill="1" applyAlignment="1">
      <alignment vertical="center"/>
    </xf>
    <xf numFmtId="164" fontId="2" fillId="2" borderId="0" xfId="1" applyNumberFormat="1" applyFont="1" applyFill="1"/>
    <xf numFmtId="41" fontId="2" fillId="2" borderId="0" xfId="2" applyFont="1" applyFill="1"/>
    <xf numFmtId="0" fontId="5" fillId="2" borderId="0" xfId="0" applyFont="1" applyFill="1" applyAlignment="1">
      <alignment vertical="center" wrapText="1"/>
    </xf>
    <xf numFmtId="0" fontId="2" fillId="2" borderId="0" xfId="4" applyFill="1" applyAlignment="1">
      <alignment wrapText="1"/>
    </xf>
    <xf numFmtId="0" fontId="2" fillId="2" borderId="0" xfId="4" applyFill="1" applyAlignment="1">
      <alignment horizontal="center" wrapText="1"/>
    </xf>
    <xf numFmtId="165" fontId="2" fillId="2" borderId="0" xfId="1" applyNumberFormat="1" applyFont="1" applyFill="1" applyAlignment="1">
      <alignment horizontal="center"/>
    </xf>
    <xf numFmtId="0" fontId="2" fillId="2" borderId="0" xfId="4" applyFill="1" applyAlignment="1">
      <alignment horizontal="center"/>
    </xf>
    <xf numFmtId="164" fontId="2" fillId="2" borderId="0" xfId="4" applyNumberFormat="1" applyFill="1" applyAlignment="1">
      <alignment horizontal="right" vertical="center"/>
    </xf>
    <xf numFmtId="9" fontId="2" fillId="2" borderId="0" xfId="3" applyFont="1" applyFill="1" applyAlignment="1">
      <alignment horizontal="right" vertical="center"/>
    </xf>
    <xf numFmtId="0" fontId="2" fillId="2" borderId="0" xfId="4" applyFill="1" applyAlignment="1">
      <alignment horizontal="right" vertical="center"/>
    </xf>
    <xf numFmtId="3" fontId="2" fillId="2" borderId="0" xfId="4" applyNumberFormat="1" applyFill="1" applyAlignment="1">
      <alignment vertical="center"/>
    </xf>
    <xf numFmtId="0" fontId="6" fillId="2" borderId="0" xfId="0" applyFont="1" applyFill="1" applyAlignment="1">
      <alignment vertical="center" wrapText="1"/>
    </xf>
  </cellXfs>
  <cellStyles count="5">
    <cellStyle name="Bình thường 2" xfId="4" xr:uid="{215FFF13-DB1F-4E35-A43D-899DFD4A22AF}"/>
    <cellStyle name="Comma" xfId="1" builtinId="3"/>
    <cellStyle name="Comma [0]" xfId="2" builtinId="6"/>
    <cellStyle name="Normal" xfId="0" builtinId="0"/>
    <cellStyle name="Percent" xfId="3" builtinId="5"/>
  </cellStyles>
  <dxfs count="23">
    <dxf>
      <font>
        <b val="0"/>
        <i val="0"/>
        <strike val="0"/>
        <condense val="0"/>
        <extend val="0"/>
        <outline val="0"/>
        <shadow val="0"/>
        <u val="none"/>
        <vertAlign val="baseline"/>
        <sz val="10"/>
        <color rgb="FF000000"/>
        <name val="Tahoma"/>
        <family val="2"/>
        <scheme val="none"/>
      </font>
      <fill>
        <patternFill patternType="solid">
          <fgColor rgb="FF000000"/>
          <bgColor theme="0"/>
        </patternFill>
      </fill>
    </dxf>
    <dxf>
      <font>
        <b/>
        <i val="0"/>
        <strike val="0"/>
        <condense val="0"/>
        <extend val="0"/>
        <outline val="0"/>
        <shadow val="0"/>
        <u val="none"/>
        <vertAlign val="baseline"/>
        <sz val="10"/>
        <color rgb="FF000000"/>
        <name val="Tahoma"/>
        <family val="2"/>
        <scheme val="none"/>
      </font>
      <fill>
        <patternFill patternType="solid">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Arial"/>
        <family val="2"/>
        <scheme val="minor"/>
      </font>
      <fill>
        <patternFill patternType="solid">
          <fgColor rgb="FFD6DCE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right style="thin">
          <color rgb="FF000000"/>
        </right>
        <top/>
        <bottom style="thin">
          <color rgb="FF000000"/>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right style="thin">
          <color rgb="FF000000"/>
        </right>
        <top/>
        <bottom style="thin">
          <color rgb="FF000000"/>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rgb="FF000000"/>
        </left>
        <right style="thin">
          <color rgb="FF000000"/>
        </right>
        <top/>
        <bottom style="thin">
          <color rgb="FF000000"/>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Arial"/>
        <family val="2"/>
        <scheme val="minor"/>
      </font>
      <fill>
        <patternFill patternType="solid">
          <fgColor rgb="FFD6DCE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ill>
        <patternFill patternType="solid">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7891;%20S&#417;%20Th&#7849;m%20&#273;&#7883;nh%20Cen/2025/Theo%20doi%20hs.xlsm" TargetMode="External"/><Relationship Id="rId2" Type="http://schemas.openxmlformats.org/officeDocument/2006/relationships/externalLinkPath" Target="https://d.docs.live.net/6e25f1c279e65ba5/H&#7891;%20S&#417;%20Th&#7849;m%20&#273;&#7883;nh%20Cen/2025/Theo%20doi%20hs.xlsm" TargetMode="External"/><Relationship Id="rId1" Type="http://schemas.openxmlformats.org/officeDocument/2006/relationships/externalLinkPath" Target="/6e25f1c279e65ba5/H&#7891;%20S&#417;%20Th&#7849;m%20&#273;&#7883;nh%20Cen/2025/Theo%20doi%20h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HANG 4.2023"/>
      <sheetName val="THANG 5.2023"/>
      <sheetName val="THANG 6.2023"/>
      <sheetName val="THANG 7.2023"/>
      <sheetName val="THANG 8.2023"/>
      <sheetName val="THANG 9.2023"/>
      <sheetName val="THANG 10.2023"/>
      <sheetName val="THANG 11.2023"/>
      <sheetName val="THANG 12.2023"/>
      <sheetName val="THANG 01.2024"/>
      <sheetName val="THANG 02.2024"/>
      <sheetName val="THANG 03.2024"/>
      <sheetName val="THANG 04.2024"/>
      <sheetName val="THANG 05.2024"/>
      <sheetName val="THANG 06.2024"/>
      <sheetName val="THANG 07.2024"/>
      <sheetName val="THANG 08.2024"/>
      <sheetName val="THANG 09.2024"/>
      <sheetName val="THANG 10.2024"/>
      <sheetName val="THANG 11.2024"/>
      <sheetName val="THANG 12.2024"/>
      <sheetName val="THANG 1.2025"/>
      <sheetName val="THANG 2.2025"/>
      <sheetName val="THANG 3.2025"/>
      <sheetName val="THANG 4.2025"/>
      <sheetName val="THANG 5.2025"/>
      <sheetName val="THANG 6.2025"/>
      <sheetName val="THANG 7.2025"/>
      <sheetName val="THANG 8.2025"/>
      <sheetName val="THANG 9.2025"/>
      <sheetName val="THANG 10.2025"/>
      <sheetName val="THANG 11.2025"/>
      <sheetName val="THANG 12.2025"/>
      <sheetName val="THANG 1.2026"/>
      <sheetName val="THANG 2.2026"/>
      <sheetName val="THANG 3.2026"/>
      <sheetName val="THANG 4.2026"/>
      <sheetName val="Up Hs"/>
      <sheetName val="Form Phát hành"/>
      <sheetName val="Form Phát hành Tháng trước"/>
      <sheetName val="Sơ Bộ"/>
      <sheetName val="Tổng Hợp Q3,4 2024"/>
      <sheetName val="Bù Số"/>
      <sheetName val="Trang_tính1"/>
      <sheetName val="Xuat HD"/>
      <sheetName val="Xuat HD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H1" t="str">
            <v>Đối Tác</v>
          </cell>
        </row>
        <row r="2">
          <cell r="H2" t="str">
            <v>Agribank Đông Gia Lai - Mr Lâm - 0987694599</v>
          </cell>
        </row>
        <row r="3">
          <cell r="H3" t="str">
            <v>Agribank Đông Gia Lai - Mr Thịnh - 0934196214</v>
          </cell>
        </row>
        <row r="4">
          <cell r="H4" t="str">
            <v>Agribank Đông Gia Lai - Ms Hồng - 0963040584</v>
          </cell>
        </row>
        <row r="5">
          <cell r="H5" t="str">
            <v>Agribank Đông Gia Lai - Ms. Huyền - 0912999933</v>
          </cell>
        </row>
        <row r="6">
          <cell r="H6" t="str">
            <v>BIDV Nam Gia Lai - Mr. Dương - 0902155345</v>
          </cell>
        </row>
        <row r="7">
          <cell r="H7" t="str">
            <v>BIDV Nam Gia Lai - Mr. Đạt - 0977842687</v>
          </cell>
        </row>
        <row r="8">
          <cell r="H8" t="str">
            <v>BIDV Nam Gia Lai - Mr. Huy - 0975572634</v>
          </cell>
        </row>
        <row r="9">
          <cell r="H9" t="str">
            <v>BIDV Nam Gia Lai - Mr. Thành - 0905026588</v>
          </cell>
        </row>
        <row r="10">
          <cell r="H10" t="str">
            <v>BIDV Nam Gia Lai - Mr. Thảo - 0986769749</v>
          </cell>
        </row>
        <row r="11">
          <cell r="H11" t="str">
            <v>BIDV Nam Gia Lai - Mrs. Vân - 0908684173</v>
          </cell>
        </row>
        <row r="12">
          <cell r="H12" t="str">
            <v>BIDV Nam Gia Lai - Mr Hoà - 0932447049</v>
          </cell>
        </row>
        <row r="13">
          <cell r="H13" t="str">
            <v>BIDV Nam Gia Lai - Mr Sửu - 0935945179</v>
          </cell>
        </row>
        <row r="14">
          <cell r="H14" t="str">
            <v>BIDV Phố Núi - Ms Quỳnh Anh - 0975172634</v>
          </cell>
        </row>
        <row r="15">
          <cell r="H15" t="str">
            <v>Co-op Bank - Ms. Liên - 0978133997</v>
          </cell>
        </row>
        <row r="16">
          <cell r="H16" t="str">
            <v>KHN</v>
          </cell>
        </row>
        <row r="17">
          <cell r="H17" t="str">
            <v>MSB Gia Lai - Mr. Nguyên - 0976171603</v>
          </cell>
        </row>
        <row r="18">
          <cell r="H18" t="str">
            <v>MSB Gia Lai - Mr. Thắng - 0793656097</v>
          </cell>
        </row>
        <row r="19">
          <cell r="H19" t="str">
            <v>MSB Gia Lai - Ms Tình - 0961043023</v>
          </cell>
        </row>
        <row r="20">
          <cell r="H20" t="str">
            <v>MSB Kon Tum - Mr Huy - 0922309786</v>
          </cell>
        </row>
        <row r="21">
          <cell r="H21" t="str">
            <v>MSB Kon Tum - Ms Loan - 0919235099</v>
          </cell>
        </row>
        <row r="22">
          <cell r="H22" t="str">
            <v>NHCS An Khê - Ms Như - 0905505717</v>
          </cell>
        </row>
        <row r="23">
          <cell r="H23" t="str">
            <v>NHCS Chư Pưh - Mr. Hưng - 096775449</v>
          </cell>
        </row>
        <row r="24">
          <cell r="H24" t="str">
            <v>NHCS Đak Pơ - Ms Chi - 0362935570</v>
          </cell>
        </row>
        <row r="25">
          <cell r="H25" t="str">
            <v>NHCS Đức Cơ - Mr. Tuân - 0399244050</v>
          </cell>
        </row>
        <row r="26">
          <cell r="H26" t="str">
            <v>NHCS Chư Păh - Mr Tý - 0336538807</v>
          </cell>
        </row>
        <row r="27">
          <cell r="H27" t="str">
            <v>NHCS Gia Lai - Ms Huyền - 0942671909</v>
          </cell>
        </row>
        <row r="28">
          <cell r="H28" t="str">
            <v>NHCS Kbang - Ms Nga - 0968147399</v>
          </cell>
        </row>
        <row r="29">
          <cell r="H29" t="str">
            <v>NHCS Kông Chro - Ms Hải - 0979745029</v>
          </cell>
        </row>
        <row r="30">
          <cell r="H30" t="str">
            <v>Sacombank Gia Lai - Mr Phú - 0347990001</v>
          </cell>
        </row>
        <row r="31">
          <cell r="H31" t="str">
            <v>Sacombank Gia Lai - Mr Sơn - 0935885888</v>
          </cell>
        </row>
        <row r="32">
          <cell r="H32" t="str">
            <v>Sacombank Gia Lai - Mr Tiền - 0986383187</v>
          </cell>
        </row>
        <row r="33">
          <cell r="H33" t="str">
            <v>Sacombank Gia Lai - Mr Bình - 0937393357</v>
          </cell>
        </row>
        <row r="34">
          <cell r="H34" t="str">
            <v>Sacombank Gia Lai - Mr Hoàng - 0964596968</v>
          </cell>
        </row>
        <row r="35">
          <cell r="H35" t="str">
            <v>Sacombank Gia Lai - Mr Huy 0949091669</v>
          </cell>
        </row>
        <row r="36">
          <cell r="H36" t="str">
            <v>Sacombank Gia Lai - Mr Sơn - 0935886881</v>
          </cell>
        </row>
        <row r="37">
          <cell r="H37" t="str">
            <v>Sacombank Gia Lai - Mr Tiền - 0986183287</v>
          </cell>
        </row>
        <row r="38">
          <cell r="H38" t="str">
            <v>Sacombank Gia Lai - Mr Thành - 0966860071</v>
          </cell>
        </row>
        <row r="39">
          <cell r="H39" t="str">
            <v>Sacombank Gia Lai - Mr Thắng 0905834222</v>
          </cell>
        </row>
        <row r="40">
          <cell r="H40" t="str">
            <v>Sacombank Gia Lai - Mr Trung - 0904423567</v>
          </cell>
        </row>
        <row r="41">
          <cell r="H41" t="str">
            <v>Sacombank PGD An Khê - Mr Bảo - 0905816851</v>
          </cell>
        </row>
        <row r="42">
          <cell r="H42" t="str">
            <v>Sacombank PGD Chư Sê - Mr Tuấn - 0927715345</v>
          </cell>
        </row>
        <row r="43">
          <cell r="H43" t="str">
            <v>VCB Gia Lai - Mr Bảo - 0988849465</v>
          </cell>
        </row>
        <row r="44">
          <cell r="H44" t="str">
            <v>VCB Gia Lai - Mr Chung - 0971012468</v>
          </cell>
        </row>
        <row r="45">
          <cell r="H45" t="str">
            <v>VCB Gia Lai - Mr Dũng - 0986695599</v>
          </cell>
        </row>
        <row r="46">
          <cell r="H46" t="str">
            <v>VCB Gia Lai - Mr Quốc - 0973382377</v>
          </cell>
        </row>
        <row r="47">
          <cell r="H47" t="str">
            <v>VCB Gia Lai - Mr. An - 0908357358</v>
          </cell>
        </row>
        <row r="48">
          <cell r="H48" t="str">
            <v>VCB Gia Lai - Mr. Biển - 0987531815</v>
          </cell>
        </row>
        <row r="49">
          <cell r="H49" t="str">
            <v>VCB Gia Lai - Mr. Chí - 0989257355</v>
          </cell>
        </row>
        <row r="50">
          <cell r="H50" t="str">
            <v>VCB Gia Lai - Mr. Duy - 0394892676</v>
          </cell>
        </row>
        <row r="51">
          <cell r="H51" t="str">
            <v>VCB Gia Lai - Mr. Hạnh - 0968698125</v>
          </cell>
        </row>
        <row r="52">
          <cell r="H52" t="str">
            <v>VCB Gia Lai - Mr. Hiếu - 0983543155</v>
          </cell>
        </row>
        <row r="53">
          <cell r="H53" t="str">
            <v>VCB Gia Lai - Mr. Huệ - 0982527259</v>
          </cell>
        </row>
        <row r="54">
          <cell r="H54" t="str">
            <v>VCB Gia Lai - Mr. Khoa - 0394941787</v>
          </cell>
        </row>
        <row r="55">
          <cell r="H55" t="str">
            <v>VCB Gia Lai - Mr. Nhật - 0934683488</v>
          </cell>
        </row>
        <row r="56">
          <cell r="H56" t="str">
            <v>VCB Gia Lai - Ms. Đức - 0356766939</v>
          </cell>
        </row>
        <row r="57">
          <cell r="H57" t="str">
            <v>VCB Gia Lai - Ms. Huyền - 0979788115</v>
          </cell>
        </row>
        <row r="58">
          <cell r="H58" t="str">
            <v>VCB Gia Lai - Ms. Thùy - 0904347401</v>
          </cell>
        </row>
        <row r="59">
          <cell r="H59" t="str">
            <v>VCB Gia Lai - Ms. Yến - 0935837579</v>
          </cell>
        </row>
        <row r="60">
          <cell r="H60" t="str">
            <v>VCB Gia Lai - Mr Cường - 0905569787</v>
          </cell>
        </row>
        <row r="61">
          <cell r="H61" t="str">
            <v>VCB Gia Lai - Mr Hoàng - 0905731389</v>
          </cell>
        </row>
        <row r="62">
          <cell r="H62" t="str">
            <v>VCB Kon Tum - Mr Cường - 0969989557</v>
          </cell>
        </row>
        <row r="63">
          <cell r="H63" t="str">
            <v>VCB Kon Tum - Mr Dũng - 0379497883</v>
          </cell>
        </row>
        <row r="64">
          <cell r="H64" t="str">
            <v>VCB Kon Tum - Mr Linh - 0936253879</v>
          </cell>
        </row>
        <row r="65">
          <cell r="H65" t="str">
            <v>VCB Kon Tum - Mr Phong - 0901686789</v>
          </cell>
        </row>
        <row r="66">
          <cell r="H66" t="str">
            <v>VCB Kon Tum - Mr Trường 0979197889</v>
          </cell>
        </row>
        <row r="67">
          <cell r="H67" t="str">
            <v>VCB Kon Tum - Mr. Dương - 0911737977</v>
          </cell>
        </row>
        <row r="68">
          <cell r="H68" t="str">
            <v>VCB Kon Tum - Mr. Đăng - 0366097829</v>
          </cell>
        </row>
        <row r="69">
          <cell r="H69" t="str">
            <v>VCB Kon Tum - Ms Châu - 0347661113</v>
          </cell>
        </row>
        <row r="70">
          <cell r="H70" t="str">
            <v>VCB Kon Tum - Ms Huyền - 0905288468</v>
          </cell>
        </row>
        <row r="71">
          <cell r="H71" t="str">
            <v>VCB Kon Tum - Ms Nhung - 0942399091</v>
          </cell>
        </row>
        <row r="72">
          <cell r="H72" t="str">
            <v>VCB Kon Tum - Ms Thúy - 0933549159</v>
          </cell>
        </row>
        <row r="73">
          <cell r="H73" t="str">
            <v>VCB Ngọc Hồi - Mr. Cường - 0971765333</v>
          </cell>
        </row>
        <row r="74">
          <cell r="H74" t="str">
            <v>Viettinbank Kon Tum - Mr. Triều - 0822328285</v>
          </cell>
        </row>
        <row r="75">
          <cell r="H75" t="str">
            <v>BIDV Nam Gia Lai - chị Huyền - 0905359835</v>
          </cell>
        </row>
        <row r="76">
          <cell r="H76" t="str">
            <v>VCB Gia Lai - Ms. Huyền - 0942670909</v>
          </cell>
        </row>
        <row r="77">
          <cell r="H77" t="str">
            <v>Sacombank Đăk Lắc - Mr Tuấn - 0977487743</v>
          </cell>
        </row>
        <row r="78">
          <cell r="H78" t="str">
            <v>VCB Đắk Nông - Mr. Bec Lin - 0905351357</v>
          </cell>
        </row>
        <row r="79">
          <cell r="H79" t="str">
            <v>VCB Đắk Nông - Như Ý - 0969742048</v>
          </cell>
        </row>
        <row r="80">
          <cell r="H80" t="str">
            <v>VCB Đắk Lắk - Mr. Chiến - 0905816363</v>
          </cell>
        </row>
        <row r="81">
          <cell r="H81" t="str">
            <v>VCB Đắk Lắk - Chúc Phương - 0906847503</v>
          </cell>
        </row>
        <row r="83">
          <cell r="H83" t="str">
            <v>VCB Vinh - Ms. Hương - 0984067716</v>
          </cell>
        </row>
        <row r="84">
          <cell r="H84" t="str">
            <v>VCB Đắk Lắk - Mr. Phú - 0906510379</v>
          </cell>
        </row>
        <row r="85">
          <cell r="H85" t="str">
            <v>VCB Đắk Lắk - Mr. Mạnh - 0988215979</v>
          </cell>
        </row>
        <row r="86">
          <cell r="H86" t="str">
            <v>SeaBank Đắk Lắk - Mr. Trí - 0918382480</v>
          </cell>
        </row>
        <row r="87">
          <cell r="H87" t="str">
            <v>VCB Đắk Lắk - Mr. Hùng - 0917506338</v>
          </cell>
        </row>
        <row r="88">
          <cell r="H88" t="str">
            <v>MB AMC - Mr. Hải - 0967243676</v>
          </cell>
        </row>
        <row r="89">
          <cell r="H89" t="str">
            <v>SeaBank Đắk Lắk - Mr. Vũ - 0934856816</v>
          </cell>
        </row>
        <row r="90">
          <cell r="H90" t="str">
            <v>VCB Đắk Nông - Mr. Tùng (Trưởng phòng) - 0989833456</v>
          </cell>
        </row>
        <row r="91">
          <cell r="H91" t="str">
            <v>VP Bank - Đắk Nông - Mr. Mạnh - 0973499199</v>
          </cell>
        </row>
        <row r="92">
          <cell r="H92" t="str">
            <v>MBAMC - Mr. Ngọc Anh - 0931729449</v>
          </cell>
        </row>
        <row r="93">
          <cell r="H93" t="str">
            <v>SeaBank Đắk Lắk - Mr. Phúc - 0358893778</v>
          </cell>
        </row>
        <row r="94">
          <cell r="H94" t="str">
            <v>VCB Bắc Đắk Lắk - Mr. Tuân - 0947869899</v>
          </cell>
        </row>
        <row r="95">
          <cell r="H95" t="str">
            <v>VCB Đắk Lắk - Mr. Tấn - 0914666787</v>
          </cell>
        </row>
        <row r="96">
          <cell r="H96" t="str">
            <v>MB AMC - Mr. Linh - 0366351567</v>
          </cell>
        </row>
        <row r="97">
          <cell r="H97" t="str">
            <v>MB AMC - Mr Hoàng - 0902633450</v>
          </cell>
        </row>
        <row r="98">
          <cell r="H98" t="str">
            <v>VCB Bắc Đắk Lắk - Mr. Tấn - 0932418888</v>
          </cell>
        </row>
        <row r="99">
          <cell r="H99" t="str">
            <v>VCB Đắk Lắk - Mr. Thắng - 0904563179</v>
          </cell>
        </row>
        <row r="100">
          <cell r="H100" t="str">
            <v>VCB Đắk Nông - Mr. Tâm -0963855651</v>
          </cell>
        </row>
        <row r="101">
          <cell r="H101" t="str">
            <v>VCB Đắk Lắk - Ms. Hà - 0986942594</v>
          </cell>
        </row>
        <row r="102">
          <cell r="H102" t="str">
            <v>VCB Đắk Lắk - Mr. Cường - 0905271120</v>
          </cell>
        </row>
        <row r="103">
          <cell r="H103" t="str">
            <v>MB AMC - Mr. Thanh - 0935664588</v>
          </cell>
        </row>
        <row r="104">
          <cell r="H104" t="str">
            <v>VCB Đăk Nông - Mr Trung - 0976787818</v>
          </cell>
        </row>
        <row r="105">
          <cell r="H105" t="str">
            <v>VP Bank - Đắk Nông - Mr. Cảnh - 0388225846</v>
          </cell>
        </row>
        <row r="106">
          <cell r="H106" t="str">
            <v>VCB Đắk Lắk PGD Phước An - Mr Khải - 0899768383</v>
          </cell>
        </row>
        <row r="107">
          <cell r="H107" t="str">
            <v>VCB Đắk Lắk - Ms. Nhung - 0919631291</v>
          </cell>
        </row>
        <row r="108">
          <cell r="H108" t="str">
            <v>VCB Đắk Lắk - Ms. Hòa - 0905886959</v>
          </cell>
        </row>
        <row r="109">
          <cell r="H109" t="str">
            <v>VCB Đắk Lắk - Mrs. Thùy - 0901948379</v>
          </cell>
        </row>
        <row r="110">
          <cell r="H110" t="str">
            <v>VCB Đắk Lắk - Ms. Thảo - 0327247868</v>
          </cell>
        </row>
        <row r="111">
          <cell r="H111" t="str">
            <v>VCB Đắk Nông - Ms. Hồng - 0911357379</v>
          </cell>
        </row>
        <row r="112">
          <cell r="H112" t="str">
            <v>MB AMC - Mr. Vũ - 0981276382</v>
          </cell>
        </row>
        <row r="113">
          <cell r="H113" t="str">
            <v>VCB Đắk Nông - Mr Đề - 0918684646</v>
          </cell>
        </row>
        <row r="114">
          <cell r="H114" t="str">
            <v>VCB Đắk Lắk - Mr. Dũng - 0916115279</v>
          </cell>
        </row>
        <row r="115">
          <cell r="H115" t="str">
            <v>VCB Đắk Lắk PGD Tất Thành - Ms Tuyết - 0942378778</v>
          </cell>
        </row>
        <row r="116">
          <cell r="H116" t="str">
            <v>VCB Đắk Lắk PGD Tất Thành - Ms Vy - 0824854747</v>
          </cell>
        </row>
        <row r="117">
          <cell r="H117" t="str">
            <v>BIDV Đắk Lắk - Mr. Tùng - 0948639963</v>
          </cell>
        </row>
        <row r="118">
          <cell r="H118" t="str">
            <v>VCB Bắc Đắk Lắk - Ms. Thư - 0907120792</v>
          </cell>
        </row>
        <row r="119">
          <cell r="H119" t="str">
            <v>MB AMC - Anh An - 0979043739</v>
          </cell>
        </row>
        <row r="120">
          <cell r="H120" t="str">
            <v>VCB Bắc Đắk Lắk - Mr. Thạch - 0932887998</v>
          </cell>
        </row>
        <row r="121">
          <cell r="H121" t="str">
            <v>VCB Đắk Lắk - Mr. Thành</v>
          </cell>
        </row>
        <row r="122">
          <cell r="H122" t="str">
            <v>VCB Đắk Lắk PGD Ea Kar - Mr. Tuấn - 0368696228</v>
          </cell>
        </row>
        <row r="123">
          <cell r="H123" t="str">
            <v>VCB Đắk Lắk - Ms. Phượng - 0906887889</v>
          </cell>
        </row>
        <row r="124">
          <cell r="H124" t="str">
            <v>VCB Bắc Đắk Lắk - Mr Chỉnh - 0974693331</v>
          </cell>
        </row>
        <row r="125">
          <cell r="H125" t="str">
            <v>VCB Đăk Nông - Ms. Phương - 0914772526</v>
          </cell>
        </row>
        <row r="126">
          <cell r="H126" t="str">
            <v>VCB Bắc Đắk Lắk - Ms. Hà - 0945394747</v>
          </cell>
        </row>
        <row r="127">
          <cell r="H127" t="str">
            <v>VCB Đăk Nông - Mr. Tình - 0857884848</v>
          </cell>
        </row>
        <row r="128">
          <cell r="H128" t="str">
            <v>VCB Đắk Lắk PGD Tất Thành - Ms Thùy - 0906938379</v>
          </cell>
        </row>
        <row r="129">
          <cell r="H129" t="str">
            <v>VCB Đắk Lắk - Mr Trọng Hùng - 0917514338</v>
          </cell>
        </row>
        <row r="130">
          <cell r="H130" t="str">
            <v>VCB Gia Lai - Mr. Khánh - 0974814565</v>
          </cell>
        </row>
        <row r="131">
          <cell r="H131" t="str">
            <v>BIDV Nam Gia Lai - Mr. Cường - 0984742369</v>
          </cell>
        </row>
        <row r="132">
          <cell r="H132" t="str">
            <v>VCB Đắk Lắk - Ms. Phương - 0937132195</v>
          </cell>
        </row>
        <row r="133">
          <cell r="H133" t="str">
            <v>VCB Đắk Lắk - Ms. Vượng - 098 8234464</v>
          </cell>
        </row>
        <row r="134">
          <cell r="H134" t="str">
            <v>VCB Đắk Lắk PGD Phước An - Mr. Phú - 0948846099</v>
          </cell>
        </row>
        <row r="135">
          <cell r="H135" t="str">
            <v>VCB Đắk Nông - Mr. Lin - 0905354357</v>
          </cell>
        </row>
        <row r="136">
          <cell r="H136" t="str">
            <v>VCB Đắk Lắk - Mr. Nam - 0967453488</v>
          </cell>
        </row>
        <row r="137">
          <cell r="H137" t="str">
            <v>VCB Đắk Lắk PGD Phước An - Mr. Chiến - 0905726363</v>
          </cell>
        </row>
        <row r="138">
          <cell r="H138" t="str">
            <v>VCB Đắk Lắk - Mr. Trung - 09763436364</v>
          </cell>
        </row>
        <row r="139">
          <cell r="H139" t="str">
            <v>VCB Đắk Lắk PGD Tất Thành - Ms. Tuyết - 0906652860</v>
          </cell>
        </row>
        <row r="140">
          <cell r="H140" t="str">
            <v>VCB Đắk Lắk - Mr Khải - 0899468383</v>
          </cell>
        </row>
        <row r="141">
          <cell r="H141" t="str">
            <v>VCB Đắk Lắk PGD Ea Kar - Mr. Thành - 0989351043</v>
          </cell>
        </row>
        <row r="142">
          <cell r="H142" t="str">
            <v>MB AMC ARR - Mr. Long - 0905266968</v>
          </cell>
        </row>
        <row r="143">
          <cell r="H143" t="str">
            <v>VCB Đắk Lắk - Ms. Dung - 0899380579</v>
          </cell>
        </row>
        <row r="144">
          <cell r="H144" t="str">
            <v>MB AMC Miền Trung - Mr. Chánh - 0703153789</v>
          </cell>
        </row>
        <row r="145">
          <cell r="H145" t="str">
            <v>VCB Đắk Lắk - Mr. Quý - 0346841077</v>
          </cell>
        </row>
        <row r="146">
          <cell r="H146" t="str">
            <v>VCB Bắc Đắk Lắk - Mr. Phát - 0763662728</v>
          </cell>
        </row>
        <row r="147">
          <cell r="H147" t="str">
            <v>VCB Bắc Hà Tĩnh - Mr. Nam - 0987752525</v>
          </cell>
        </row>
        <row r="148">
          <cell r="H148" t="str">
            <v>VCB Đắk Lắk - Thảo Nguyên - 0563186737</v>
          </cell>
        </row>
        <row r="149">
          <cell r="H149" t="str">
            <v>Sacombank Krông Pắc - Mr. Trung - 0935759570</v>
          </cell>
        </row>
        <row r="150">
          <cell r="H150" t="str">
            <v>VCB Đắk Lăk - PGD Quang Trung - Mr. Tâm - 0902428219</v>
          </cell>
        </row>
        <row r="151">
          <cell r="H151" t="str">
            <v>VCB Đắk Lắk - Mrs. Thủy - 0912284241</v>
          </cell>
        </row>
        <row r="152">
          <cell r="H152" t="str">
            <v>VCB Đắk Lắk - Mrs. Quỳnh - 0914329877</v>
          </cell>
        </row>
        <row r="153">
          <cell r="H153" t="str">
            <v>Đức VCB Bắc Đắk Lắk - 0913033534</v>
          </cell>
        </row>
        <row r="154">
          <cell r="H154" t="str">
            <v>MB Hội An - Ms. Long - 0935543536</v>
          </cell>
        </row>
        <row r="155">
          <cell r="H155" t="str">
            <v>VCB Bắc Đắk Lắk - Mrs. Trâm - 0832055054</v>
          </cell>
        </row>
        <row r="156">
          <cell r="H156" t="str">
            <v>Seabank Đắk Lắk - Mr. Thi - 0905398488</v>
          </cell>
        </row>
        <row r="157">
          <cell r="H157" t="str">
            <v>VCB Bắc Đắk Lắk - Mr. Hải - 0914718666</v>
          </cell>
        </row>
        <row r="158">
          <cell r="H158" t="str">
            <v>VCB Đắk Lắk - Mr. Linh - 0935671038</v>
          </cell>
        </row>
        <row r="159">
          <cell r="H159" t="str">
            <v>VCB Đắk Lắk - Mr. Nghĩa - 0967096789</v>
          </cell>
        </row>
        <row r="161">
          <cell r="H161" t="str">
            <v>BIDV Đắk Lắk - Anh Hải - 0902755000</v>
          </cell>
        </row>
        <row r="162">
          <cell r="H162" t="str">
            <v>VP Bank - Gia Lai - Chị Ngọc - 0972638579</v>
          </cell>
        </row>
        <row r="163">
          <cell r="H163" t="str">
            <v>BIDV Buôn Hồ - Anh Khoa 0901605555</v>
          </cell>
        </row>
        <row r="164">
          <cell r="H164" t="str">
            <v>VCB Đắk Lắk - Mr. Đạt - 0935732323</v>
          </cell>
        </row>
        <row r="165">
          <cell r="H165" t="str">
            <v>Sacombank Đắk Lắk - Mr. Định - 0799031531</v>
          </cell>
        </row>
        <row r="166">
          <cell r="H166" t="str">
            <v>MB Hội An - Ms. Quỳnh - 0768002604</v>
          </cell>
        </row>
        <row r="167">
          <cell r="H167" t="str">
            <v>VCB Đắk Lắk - Ms. Xuân - 0367475375</v>
          </cell>
        </row>
        <row r="168">
          <cell r="H168" t="str">
            <v>VCB Đắk Lắk - Mr. Tùng - 0905361487</v>
          </cell>
        </row>
        <row r="169">
          <cell r="H169" t="str">
            <v>MB AMC - Mr. Tấn - 0905802689</v>
          </cell>
        </row>
        <row r="170">
          <cell r="H170" t="str">
            <v>Vietinbank Gia Lai - Ms. Huyền - 0942670909</v>
          </cell>
        </row>
        <row r="171">
          <cell r="H171" t="str">
            <v>BIDV Quy Nhơn - Mr. Hiếu - 0932404099</v>
          </cell>
        </row>
        <row r="172">
          <cell r="H172" t="str">
            <v>BIDV Đông Đắk Lăk - Mr. Sơn - 0964694747</v>
          </cell>
        </row>
        <row r="173">
          <cell r="H173" t="str">
            <v>BIDV Phố Núi - Chị Kim Anh - 0973200002</v>
          </cell>
        </row>
        <row r="174">
          <cell r="H174" t="str">
            <v>Sacombank Kon Tum - Mr. Luân - 0967097789</v>
          </cell>
        </row>
        <row r="175">
          <cell r="H175" t="str">
            <v>VCB Nam Đà Nẵng - Mr. Điệp - 0935329246</v>
          </cell>
        </row>
        <row r="176">
          <cell r="H176" t="str">
            <v>NHCS Đắk Lăk - Mr Trọng Hùng - 0917514338</v>
          </cell>
        </row>
        <row r="694">
          <cell r="H694">
            <v>2975000</v>
          </cell>
        </row>
        <row r="695">
          <cell r="H695">
            <v>3272500.0000000005</v>
          </cell>
        </row>
        <row r="1022">
          <cell r="H1022">
            <v>4000000</v>
          </cell>
        </row>
        <row r="1023">
          <cell r="H1023">
            <v>146200000</v>
          </cell>
        </row>
      </sheetData>
      <sheetData sheetId="38"/>
      <sheetData sheetId="39"/>
      <sheetData sheetId="40"/>
      <sheetData sheetId="41"/>
      <sheetData sheetId="42"/>
      <sheetData sheetId="43"/>
      <sheetData sheetId="44"/>
      <sheetData sheetId="4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2D5F2A-52EB-49A6-9B2B-A60A666359D1}" name="Thang10202122202324252627282930313233343536" displayName="Thang10202122202324252627282930313233343536" ref="A3:J45" totalsRowShown="0" headerRowDxfId="1" dataDxfId="0" totalsRowDxfId="22" headerRowCellStyle="Bình thường 2" dataCellStyle="Bình thường 2">
  <autoFilter ref="A3:J45" xr:uid="{8DF4F29F-71B0-4493-A61F-F3CEE553194D}"/>
  <tableColumns count="10">
    <tableColumn id="1" xr3:uid="{5E6DCD66-17E5-4E49-8F09-C6CA94B38020}" name="STT" dataDxfId="11" totalsRowDxfId="21" dataCellStyle="Bình thường 2"/>
    <tableColumn id="2" xr3:uid="{800342F8-8999-4727-AE82-29BE53BA664E}" name="Khách hàng" dataDxfId="10" totalsRowDxfId="20" dataCellStyle="Bình thường 2"/>
    <tableColumn id="3" xr3:uid="{A643FDE3-9B9C-4374-842F-7B96CBD91F06}" name="Địa chỉ" dataDxfId="9" totalsRowDxfId="19" dataCellStyle="Bình thường 2"/>
    <tableColumn id="4" xr3:uid="{690094ED-408D-4232-B92E-761BD520D00A}" name="Tài sản thẩm định" dataDxfId="8" totalsRowDxfId="18" dataCellStyle="Bình thường 2"/>
    <tableColumn id="5" xr3:uid="{31866B29-3CCD-4FDF-978A-F46A9EA7073F}" name="Mục đích thẩm định" dataDxfId="7" totalsRowDxfId="17" dataCellStyle="Bình thường 2"/>
    <tableColumn id="6" xr3:uid="{C0F4713C-2F45-4BEE-A1D7-1C3483CF0698}" name="Phí thẩm định" dataDxfId="6" totalsRowDxfId="16" dataCellStyle="Bình thường 2"/>
    <tableColumn id="7" xr3:uid="{53AC419F-E894-490C-92CA-C2DCE578E7E8}" name=" Số tiền Bằng chữ" dataDxfId="5" totalsRowDxfId="15" dataCellStyle="Bình thường 2"/>
    <tableColumn id="27" xr3:uid="{F61BDA74-DC76-4C47-BF06-55925C74009A}" name="Ghi Chú cá nhân" dataDxfId="4" totalsRowDxfId="14" dataCellStyle="Bình thường 2">
      <calculatedColumnFormula>CONCATENATE("='Up Hs'!E",#REF!)</calculatedColumnFormula>
    </tableColumn>
    <tableColumn id="8" xr3:uid="{5E029EB6-1474-4BDE-9F0D-D0A66E631416}" name="Diễn giải" dataDxfId="3" totalsRowDxfId="13" dataCellStyle="Bình thường 2"/>
    <tableColumn id="19" xr3:uid="{124B2047-30C8-4D1E-A86C-818B25EFFFBE}" name="Ngân hàng" dataDxfId="2" totalsRowDxfId="12" dataCellStyle="Bình thường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C5EE0-1DF1-467F-95DF-63F7AF1148AC}">
  <sheetPr codeName="Trang_tính48">
    <outlinePr summaryBelow="0" summaryRight="0"/>
  </sheetPr>
  <dimension ref="A1:P64"/>
  <sheetViews>
    <sheetView tabSelected="1" zoomScaleNormal="100" workbookViewId="0">
      <pane ySplit="3" topLeftCell="A4" activePane="bottomLeft" state="frozen"/>
      <selection activeCell="S18" sqref="S18"/>
      <selection pane="bottomLeft" activeCell="C39" sqref="C39"/>
    </sheetView>
  </sheetViews>
  <sheetFormatPr defaultColWidth="11" defaultRowHeight="15.75" customHeight="1" outlineLevelCol="1" x14ac:dyDescent="0.2"/>
  <cols>
    <col min="1" max="1" width="5.875" style="9" customWidth="1"/>
    <col min="2" max="2" width="60.875" style="49" customWidth="1"/>
    <col min="3" max="3" width="50.25" style="9" customWidth="1" outlineLevel="1"/>
    <col min="4" max="4" width="64.875" style="49" customWidth="1" outlineLevel="1"/>
    <col min="5" max="7" width="20" style="9" customWidth="1" outlineLevel="1"/>
    <col min="8" max="8" width="52.625" style="50" customWidth="1"/>
    <col min="9" max="9" width="24.375" style="9" customWidth="1"/>
    <col min="10" max="10" width="45.875" style="52" customWidth="1"/>
    <col min="11" max="11" width="25.375" style="9" customWidth="1"/>
    <col min="12" max="12" width="18" style="9" customWidth="1"/>
    <col min="13" max="13" width="12.125" style="9" bestFit="1" customWidth="1"/>
    <col min="14" max="14" width="13.125" style="9" bestFit="1" customWidth="1"/>
    <col min="15" max="16384" width="11" style="9"/>
  </cols>
  <sheetData>
    <row r="1" spans="1:13" s="1" customFormat="1" ht="17.45" customHeight="1" x14ac:dyDescent="0.2">
      <c r="B1" s="2"/>
      <c r="D1" s="2"/>
      <c r="H1" s="2"/>
    </row>
    <row r="3" spans="1:13" ht="39.200000000000003" customHeight="1" x14ac:dyDescent="0.2">
      <c r="A3" s="3" t="s">
        <v>0</v>
      </c>
      <c r="B3" s="4" t="s">
        <v>1</v>
      </c>
      <c r="C3" s="5" t="s">
        <v>2</v>
      </c>
      <c r="D3" s="4" t="s">
        <v>3</v>
      </c>
      <c r="E3" s="6" t="s">
        <v>4</v>
      </c>
      <c r="F3" s="7" t="s">
        <v>5</v>
      </c>
      <c r="G3" s="5" t="s">
        <v>6</v>
      </c>
      <c r="H3" s="4" t="s">
        <v>291</v>
      </c>
      <c r="I3" s="8" t="s">
        <v>7</v>
      </c>
      <c r="J3" s="6" t="s">
        <v>8</v>
      </c>
    </row>
    <row r="4" spans="1:13" s="20" customFormat="1" ht="60" customHeight="1" x14ac:dyDescent="0.2">
      <c r="A4" s="10">
        <v>1</v>
      </c>
      <c r="B4" s="11" t="s">
        <v>9</v>
      </c>
      <c r="C4" s="12" t="s">
        <v>10</v>
      </c>
      <c r="D4" s="13" t="s">
        <v>11</v>
      </c>
      <c r="E4" s="14" t="s">
        <v>12</v>
      </c>
      <c r="F4" s="15" t="s">
        <v>13</v>
      </c>
      <c r="G4" s="16" t="s">
        <v>14</v>
      </c>
      <c r="H4" s="17" t="s">
        <v>15</v>
      </c>
      <c r="I4" s="18" t="s">
        <v>16</v>
      </c>
      <c r="J4" s="19" t="s">
        <v>17</v>
      </c>
    </row>
    <row r="5" spans="1:13" s="20" customFormat="1" ht="45" customHeight="1" x14ac:dyDescent="0.2">
      <c r="A5" s="10">
        <v>2</v>
      </c>
      <c r="B5" s="21" t="s">
        <v>18</v>
      </c>
      <c r="C5" s="12" t="s">
        <v>19</v>
      </c>
      <c r="D5" s="13" t="s">
        <v>20</v>
      </c>
      <c r="E5" s="14" t="s">
        <v>21</v>
      </c>
      <c r="F5" s="15" t="s">
        <v>22</v>
      </c>
      <c r="G5" s="16" t="s">
        <v>23</v>
      </c>
      <c r="H5" s="17" t="s">
        <v>24</v>
      </c>
      <c r="I5" s="18" t="s">
        <v>25</v>
      </c>
      <c r="J5" s="22" t="s">
        <v>26</v>
      </c>
    </row>
    <row r="6" spans="1:13" ht="18.75" customHeight="1" x14ac:dyDescent="0.2">
      <c r="A6" s="10">
        <v>3</v>
      </c>
      <c r="B6" s="21" t="s">
        <v>27</v>
      </c>
      <c r="C6" s="12" t="s">
        <v>28</v>
      </c>
      <c r="D6" s="13" t="s">
        <v>29</v>
      </c>
      <c r="E6" s="14" t="s">
        <v>30</v>
      </c>
      <c r="F6" s="15" t="s">
        <v>31</v>
      </c>
      <c r="G6" s="16" t="s">
        <v>32</v>
      </c>
      <c r="H6" s="17" t="s">
        <v>33</v>
      </c>
      <c r="I6" s="18" t="s">
        <v>34</v>
      </c>
      <c r="J6" s="40" t="s">
        <v>35</v>
      </c>
    </row>
    <row r="7" spans="1:13" ht="21" customHeight="1" x14ac:dyDescent="0.2">
      <c r="A7" s="10">
        <v>4</v>
      </c>
      <c r="B7" s="21" t="s">
        <v>36</v>
      </c>
      <c r="C7" s="48" t="s">
        <v>37</v>
      </c>
      <c r="D7" s="13" t="s">
        <v>38</v>
      </c>
      <c r="E7" s="14" t="s">
        <v>12</v>
      </c>
      <c r="F7" s="15" t="s">
        <v>13</v>
      </c>
      <c r="G7" s="16" t="s">
        <v>14</v>
      </c>
      <c r="H7" s="17" t="s">
        <v>39</v>
      </c>
      <c r="I7" s="18" t="s">
        <v>40</v>
      </c>
      <c r="J7" s="22" t="s">
        <v>17</v>
      </c>
    </row>
    <row r="8" spans="1:13" s="20" customFormat="1" ht="33.75" customHeight="1" x14ac:dyDescent="0.2">
      <c r="A8" s="10">
        <v>5</v>
      </c>
      <c r="B8" s="21" t="s">
        <v>41</v>
      </c>
      <c r="C8" s="48">
        <v>0</v>
      </c>
      <c r="D8" s="13" t="s">
        <v>42</v>
      </c>
      <c r="E8" s="14" t="s">
        <v>43</v>
      </c>
      <c r="F8" s="15" t="s">
        <v>44</v>
      </c>
      <c r="G8" s="16" t="s">
        <v>45</v>
      </c>
      <c r="H8" s="17" t="s">
        <v>46</v>
      </c>
      <c r="I8" s="18" t="s">
        <v>47</v>
      </c>
      <c r="J8" s="22" t="s">
        <v>48</v>
      </c>
      <c r="K8" s="23"/>
      <c r="L8" s="24"/>
      <c r="M8" s="25"/>
    </row>
    <row r="9" spans="1:13" ht="21.75" customHeight="1" x14ac:dyDescent="0.2">
      <c r="A9" s="10">
        <v>6</v>
      </c>
      <c r="B9" s="21" t="s">
        <v>49</v>
      </c>
      <c r="C9" s="48" t="s">
        <v>50</v>
      </c>
      <c r="D9" s="13" t="s">
        <v>51</v>
      </c>
      <c r="E9" s="14" t="s">
        <v>52</v>
      </c>
      <c r="F9" s="15" t="s">
        <v>53</v>
      </c>
      <c r="G9" s="16" t="s">
        <v>54</v>
      </c>
      <c r="H9" s="17" t="s">
        <v>55</v>
      </c>
      <c r="I9" s="18" t="s">
        <v>56</v>
      </c>
      <c r="J9" s="22" t="s">
        <v>57</v>
      </c>
      <c r="K9" s="23">
        <f>K8-550000</f>
        <v>-550000</v>
      </c>
      <c r="L9" s="53"/>
      <c r="M9" s="54"/>
    </row>
    <row r="10" spans="1:13" ht="21.75" customHeight="1" x14ac:dyDescent="0.2">
      <c r="A10" s="10">
        <v>7</v>
      </c>
      <c r="B10" s="21" t="s">
        <v>58</v>
      </c>
      <c r="C10" s="48" t="s">
        <v>59</v>
      </c>
      <c r="D10" s="13" t="s">
        <v>60</v>
      </c>
      <c r="E10" s="14" t="s">
        <v>61</v>
      </c>
      <c r="F10" s="15" t="s">
        <v>62</v>
      </c>
      <c r="G10" s="16" t="s">
        <v>63</v>
      </c>
      <c r="H10" s="17" t="s">
        <v>64</v>
      </c>
      <c r="I10" s="18" t="s">
        <v>65</v>
      </c>
      <c r="J10" s="22" t="s">
        <v>66</v>
      </c>
      <c r="K10" s="53"/>
      <c r="L10" s="55"/>
      <c r="M10" s="25"/>
    </row>
    <row r="11" spans="1:13" ht="19.5" customHeight="1" x14ac:dyDescent="0.2">
      <c r="A11" s="10">
        <v>8</v>
      </c>
      <c r="B11" s="21" t="s">
        <v>67</v>
      </c>
      <c r="C11" s="48" t="s">
        <v>68</v>
      </c>
      <c r="D11" s="13" t="s">
        <v>69</v>
      </c>
      <c r="E11" s="14" t="s">
        <v>12</v>
      </c>
      <c r="F11" s="15" t="s">
        <v>13</v>
      </c>
      <c r="G11" s="16" t="s">
        <v>14</v>
      </c>
      <c r="H11" s="17" t="s">
        <v>70</v>
      </c>
      <c r="I11" s="18" t="s">
        <v>71</v>
      </c>
      <c r="J11" s="22" t="s">
        <v>72</v>
      </c>
      <c r="K11" s="26"/>
    </row>
    <row r="12" spans="1:13" ht="51" customHeight="1" x14ac:dyDescent="0.2">
      <c r="A12" s="10">
        <v>9</v>
      </c>
      <c r="B12" s="21" t="s">
        <v>73</v>
      </c>
      <c r="C12" s="48" t="s">
        <v>74</v>
      </c>
      <c r="D12" s="13" t="s">
        <v>75</v>
      </c>
      <c r="E12" s="14" t="s">
        <v>76</v>
      </c>
      <c r="F12" s="15" t="s">
        <v>77</v>
      </c>
      <c r="G12" s="16" t="s">
        <v>78</v>
      </c>
      <c r="H12" s="17" t="s">
        <v>79</v>
      </c>
      <c r="I12" s="18" t="s">
        <v>80</v>
      </c>
      <c r="J12" s="22" t="s">
        <v>48</v>
      </c>
      <c r="K12" s="26"/>
    </row>
    <row r="13" spans="1:13" ht="23.25" customHeight="1" x14ac:dyDescent="0.2">
      <c r="A13" s="10">
        <v>10</v>
      </c>
      <c r="B13" s="21" t="s">
        <v>81</v>
      </c>
      <c r="C13" s="48" t="s">
        <v>82</v>
      </c>
      <c r="D13" s="13" t="s">
        <v>83</v>
      </c>
      <c r="E13" s="14" t="s">
        <v>84</v>
      </c>
      <c r="F13" s="27" t="s">
        <v>85</v>
      </c>
      <c r="G13" s="16" t="s">
        <v>86</v>
      </c>
      <c r="H13" s="17" t="s">
        <v>87</v>
      </c>
      <c r="I13" s="18" t="s">
        <v>88</v>
      </c>
      <c r="J13" s="22" t="s">
        <v>89</v>
      </c>
    </row>
    <row r="14" spans="1:13" ht="24" customHeight="1" x14ac:dyDescent="0.2">
      <c r="A14" s="10">
        <v>11</v>
      </c>
      <c r="B14" s="21" t="s">
        <v>90</v>
      </c>
      <c r="C14" s="48">
        <v>0</v>
      </c>
      <c r="D14" s="13" t="s">
        <v>91</v>
      </c>
      <c r="E14" s="14" t="s">
        <v>21</v>
      </c>
      <c r="F14" s="27" t="s">
        <v>13</v>
      </c>
      <c r="G14" s="16" t="s">
        <v>14</v>
      </c>
      <c r="H14" s="17" t="s">
        <v>92</v>
      </c>
      <c r="I14" s="18" t="s">
        <v>93</v>
      </c>
      <c r="J14" s="22" t="s">
        <v>94</v>
      </c>
      <c r="K14" s="56"/>
    </row>
    <row r="15" spans="1:13" ht="39.75" customHeight="1" x14ac:dyDescent="0.2">
      <c r="A15" s="10">
        <v>12</v>
      </c>
      <c r="B15" s="21" t="s">
        <v>95</v>
      </c>
      <c r="C15" s="48" t="s">
        <v>96</v>
      </c>
      <c r="D15" s="13" t="s">
        <v>97</v>
      </c>
      <c r="E15" s="14" t="s">
        <v>43</v>
      </c>
      <c r="F15" s="27" t="s">
        <v>77</v>
      </c>
      <c r="G15" s="16" t="s">
        <v>78</v>
      </c>
      <c r="H15" s="17" t="s">
        <v>98</v>
      </c>
      <c r="I15" s="18" t="s">
        <v>99</v>
      </c>
      <c r="J15" s="22" t="s">
        <v>100</v>
      </c>
      <c r="K15" s="45"/>
    </row>
    <row r="16" spans="1:13" ht="40.5" customHeight="1" x14ac:dyDescent="0.2">
      <c r="A16" s="10">
        <v>13</v>
      </c>
      <c r="B16" s="21" t="s">
        <v>101</v>
      </c>
      <c r="C16" s="48" t="s">
        <v>102</v>
      </c>
      <c r="D16" s="13" t="s">
        <v>103</v>
      </c>
      <c r="E16" s="14" t="s">
        <v>84</v>
      </c>
      <c r="F16" s="27" t="s">
        <v>104</v>
      </c>
      <c r="G16" s="16" t="s">
        <v>105</v>
      </c>
      <c r="H16" s="17" t="s">
        <v>106</v>
      </c>
      <c r="I16" s="18" t="s">
        <v>107</v>
      </c>
      <c r="J16" s="22" t="s">
        <v>108</v>
      </c>
      <c r="K16" s="28"/>
    </row>
    <row r="17" spans="1:11" ht="25.5" x14ac:dyDescent="0.2">
      <c r="A17" s="10">
        <v>14</v>
      </c>
      <c r="B17" s="21" t="s">
        <v>109</v>
      </c>
      <c r="C17" s="48" t="s">
        <v>110</v>
      </c>
      <c r="D17" s="13" t="s">
        <v>111</v>
      </c>
      <c r="E17" s="14" t="s">
        <v>12</v>
      </c>
      <c r="F17" s="27" t="s">
        <v>77</v>
      </c>
      <c r="G17" s="16" t="s">
        <v>78</v>
      </c>
      <c r="H17" s="17" t="s">
        <v>112</v>
      </c>
      <c r="I17" s="18" t="s">
        <v>113</v>
      </c>
      <c r="J17" s="22" t="s">
        <v>114</v>
      </c>
    </row>
    <row r="18" spans="1:11" ht="25.5" x14ac:dyDescent="0.2">
      <c r="A18" s="10">
        <v>15</v>
      </c>
      <c r="B18" s="21" t="s">
        <v>115</v>
      </c>
      <c r="C18" s="48" t="s">
        <v>116</v>
      </c>
      <c r="D18" s="13" t="s">
        <v>117</v>
      </c>
      <c r="E18" s="14" t="s">
        <v>12</v>
      </c>
      <c r="F18" s="27" t="s">
        <v>118</v>
      </c>
      <c r="G18" s="16" t="s">
        <v>119</v>
      </c>
      <c r="H18" s="17" t="s">
        <v>120</v>
      </c>
      <c r="I18" s="18" t="s">
        <v>121</v>
      </c>
      <c r="J18" s="22" t="s">
        <v>122</v>
      </c>
      <c r="K18" s="29"/>
    </row>
    <row r="19" spans="1:11" ht="25.5" x14ac:dyDescent="0.2">
      <c r="A19" s="10">
        <v>16</v>
      </c>
      <c r="B19" s="21" t="s">
        <v>9</v>
      </c>
      <c r="C19" s="48" t="s">
        <v>123</v>
      </c>
      <c r="D19" s="13" t="s">
        <v>124</v>
      </c>
      <c r="E19" s="14" t="s">
        <v>84</v>
      </c>
      <c r="F19" s="27" t="s">
        <v>125</v>
      </c>
      <c r="G19" s="16" t="s">
        <v>126</v>
      </c>
      <c r="H19" s="17" t="s">
        <v>127</v>
      </c>
      <c r="I19" s="18" t="s">
        <v>128</v>
      </c>
      <c r="J19" s="22" t="s">
        <v>129</v>
      </c>
      <c r="K19" s="20"/>
    </row>
    <row r="20" spans="1:11" ht="38.25" x14ac:dyDescent="0.2">
      <c r="A20" s="10">
        <v>17</v>
      </c>
      <c r="B20" s="21" t="s">
        <v>130</v>
      </c>
      <c r="C20" s="48" t="s">
        <v>131</v>
      </c>
      <c r="D20" s="13" t="s">
        <v>132</v>
      </c>
      <c r="E20" s="14">
        <v>0</v>
      </c>
      <c r="F20" s="27" t="s">
        <v>133</v>
      </c>
      <c r="G20" s="16" t="s">
        <v>134</v>
      </c>
      <c r="H20" s="17" t="s">
        <v>135</v>
      </c>
      <c r="I20" s="18" t="s">
        <v>136</v>
      </c>
      <c r="J20" s="22" t="s">
        <v>137</v>
      </c>
    </row>
    <row r="21" spans="1:11" ht="38.25" x14ac:dyDescent="0.2">
      <c r="A21" s="10">
        <v>18</v>
      </c>
      <c r="B21" s="21" t="s">
        <v>138</v>
      </c>
      <c r="C21" s="48" t="s">
        <v>139</v>
      </c>
      <c r="D21" s="13" t="s">
        <v>140</v>
      </c>
      <c r="E21" s="14" t="s">
        <v>12</v>
      </c>
      <c r="F21" s="27" t="s">
        <v>53</v>
      </c>
      <c r="G21" s="16" t="s">
        <v>54</v>
      </c>
      <c r="H21" s="17" t="s">
        <v>141</v>
      </c>
      <c r="I21" s="18" t="s">
        <v>142</v>
      </c>
      <c r="J21" s="22" t="s">
        <v>143</v>
      </c>
    </row>
    <row r="22" spans="1:11" s="39" customFormat="1" ht="45.75" customHeight="1" x14ac:dyDescent="0.2">
      <c r="A22" s="30">
        <v>19</v>
      </c>
      <c r="B22" s="31" t="s">
        <v>138</v>
      </c>
      <c r="C22" s="57" t="s">
        <v>144</v>
      </c>
      <c r="D22" s="32" t="s">
        <v>145</v>
      </c>
      <c r="E22" s="33" t="s">
        <v>12</v>
      </c>
      <c r="F22" s="34" t="s">
        <v>146</v>
      </c>
      <c r="G22" s="35" t="s">
        <v>147</v>
      </c>
      <c r="H22" s="36" t="s">
        <v>148</v>
      </c>
      <c r="I22" s="37" t="s">
        <v>149</v>
      </c>
      <c r="J22" s="34" t="s">
        <v>143</v>
      </c>
      <c r="K22" s="38"/>
    </row>
    <row r="23" spans="1:11" ht="47.25" customHeight="1" x14ac:dyDescent="0.2">
      <c r="A23" s="10">
        <v>20</v>
      </c>
      <c r="B23" s="21" t="s">
        <v>150</v>
      </c>
      <c r="C23" s="48" t="s">
        <v>151</v>
      </c>
      <c r="D23" s="13" t="s">
        <v>152</v>
      </c>
      <c r="E23" s="14" t="s">
        <v>12</v>
      </c>
      <c r="F23" s="27" t="s">
        <v>13</v>
      </c>
      <c r="G23" s="16" t="s">
        <v>14</v>
      </c>
      <c r="H23" s="17" t="s">
        <v>153</v>
      </c>
      <c r="I23" s="18" t="s">
        <v>154</v>
      </c>
      <c r="J23" s="22" t="s">
        <v>122</v>
      </c>
      <c r="K23" s="28"/>
    </row>
    <row r="24" spans="1:11" ht="37.5" customHeight="1" x14ac:dyDescent="0.2">
      <c r="A24" s="10">
        <v>21</v>
      </c>
      <c r="B24" s="21" t="s">
        <v>155</v>
      </c>
      <c r="C24" s="48" t="s">
        <v>156</v>
      </c>
      <c r="D24" s="13" t="s">
        <v>157</v>
      </c>
      <c r="E24" s="14" t="s">
        <v>21</v>
      </c>
      <c r="F24" s="27" t="s">
        <v>53</v>
      </c>
      <c r="G24" s="16" t="s">
        <v>54</v>
      </c>
      <c r="H24" s="17" t="s">
        <v>158</v>
      </c>
      <c r="I24" s="18" t="s">
        <v>159</v>
      </c>
      <c r="J24" s="40" t="s">
        <v>160</v>
      </c>
      <c r="K24" s="28"/>
    </row>
    <row r="25" spans="1:11" ht="36.75" customHeight="1" x14ac:dyDescent="0.2">
      <c r="A25" s="10">
        <v>22</v>
      </c>
      <c r="B25" s="21" t="s">
        <v>95</v>
      </c>
      <c r="C25" s="48" t="s">
        <v>161</v>
      </c>
      <c r="D25" s="13" t="s">
        <v>162</v>
      </c>
      <c r="E25" s="14" t="s">
        <v>43</v>
      </c>
      <c r="F25" s="27" t="s">
        <v>77</v>
      </c>
      <c r="G25" s="16" t="s">
        <v>78</v>
      </c>
      <c r="H25" s="17" t="s">
        <v>163</v>
      </c>
      <c r="I25" s="18" t="s">
        <v>164</v>
      </c>
      <c r="J25" s="22" t="s">
        <v>100</v>
      </c>
    </row>
    <row r="26" spans="1:11" ht="99" customHeight="1" x14ac:dyDescent="0.2">
      <c r="A26" s="10">
        <v>23</v>
      </c>
      <c r="B26" s="21" t="s">
        <v>95</v>
      </c>
      <c r="C26" s="48" t="s">
        <v>165</v>
      </c>
      <c r="D26" s="13" t="s">
        <v>166</v>
      </c>
      <c r="E26" s="14" t="s">
        <v>43</v>
      </c>
      <c r="F26" s="27" t="s">
        <v>146</v>
      </c>
      <c r="G26" s="16" t="s">
        <v>147</v>
      </c>
      <c r="H26" s="17" t="s">
        <v>167</v>
      </c>
      <c r="I26" s="18" t="s">
        <v>168</v>
      </c>
      <c r="J26" s="22" t="s">
        <v>100</v>
      </c>
    </row>
    <row r="27" spans="1:11" ht="51" x14ac:dyDescent="0.2">
      <c r="A27" s="10">
        <v>24</v>
      </c>
      <c r="B27" s="21" t="s">
        <v>169</v>
      </c>
      <c r="C27" s="48" t="s">
        <v>170</v>
      </c>
      <c r="D27" s="13" t="s">
        <v>171</v>
      </c>
      <c r="E27" s="14" t="s">
        <v>43</v>
      </c>
      <c r="F27" s="27" t="s">
        <v>172</v>
      </c>
      <c r="G27" s="16" t="s">
        <v>173</v>
      </c>
      <c r="H27" s="17" t="s">
        <v>174</v>
      </c>
      <c r="I27" s="18" t="s">
        <v>175</v>
      </c>
      <c r="J27" s="22" t="s">
        <v>176</v>
      </c>
    </row>
    <row r="28" spans="1:11" ht="64.5" customHeight="1" x14ac:dyDescent="0.2">
      <c r="A28" s="10">
        <v>25</v>
      </c>
      <c r="B28" s="41" t="s">
        <v>177</v>
      </c>
      <c r="C28" s="48" t="s">
        <v>178</v>
      </c>
      <c r="D28" s="13" t="s">
        <v>179</v>
      </c>
      <c r="E28" s="14" t="s">
        <v>12</v>
      </c>
      <c r="F28" s="27" t="s">
        <v>180</v>
      </c>
      <c r="G28" s="16" t="s">
        <v>181</v>
      </c>
      <c r="H28" s="17" t="s">
        <v>182</v>
      </c>
      <c r="I28" s="18" t="s">
        <v>183</v>
      </c>
      <c r="J28" s="22" t="s">
        <v>122</v>
      </c>
      <c r="K28" s="42"/>
    </row>
    <row r="29" spans="1:11" ht="42.75" customHeight="1" x14ac:dyDescent="0.2">
      <c r="A29" s="10">
        <v>26</v>
      </c>
      <c r="B29" s="41" t="s">
        <v>184</v>
      </c>
      <c r="C29" s="48" t="s">
        <v>185</v>
      </c>
      <c r="D29" s="13" t="s">
        <v>186</v>
      </c>
      <c r="E29" s="14" t="s">
        <v>12</v>
      </c>
      <c r="F29" s="27" t="s">
        <v>53</v>
      </c>
      <c r="G29" s="16" t="s">
        <v>54</v>
      </c>
      <c r="H29" s="17" t="s">
        <v>187</v>
      </c>
      <c r="I29" s="18" t="s">
        <v>188</v>
      </c>
      <c r="J29" s="22" t="s">
        <v>189</v>
      </c>
    </row>
    <row r="30" spans="1:11" ht="47.25" customHeight="1" x14ac:dyDescent="0.2">
      <c r="A30" s="10">
        <v>27</v>
      </c>
      <c r="B30" s="41" t="s">
        <v>190</v>
      </c>
      <c r="C30" s="48" t="s">
        <v>191</v>
      </c>
      <c r="D30" s="13" t="s">
        <v>192</v>
      </c>
      <c r="E30" s="14" t="s">
        <v>30</v>
      </c>
      <c r="F30" s="27" t="s">
        <v>125</v>
      </c>
      <c r="G30" s="16" t="s">
        <v>126</v>
      </c>
      <c r="H30" s="17" t="s">
        <v>193</v>
      </c>
      <c r="I30" s="18" t="s">
        <v>194</v>
      </c>
      <c r="J30" s="22" t="s">
        <v>195</v>
      </c>
      <c r="K30" s="28"/>
    </row>
    <row r="31" spans="1:11" ht="33" customHeight="1" x14ac:dyDescent="0.2">
      <c r="A31" s="10">
        <v>28</v>
      </c>
      <c r="B31" s="41" t="s">
        <v>196</v>
      </c>
      <c r="C31" s="48" t="s">
        <v>197</v>
      </c>
      <c r="D31" s="13" t="s">
        <v>198</v>
      </c>
      <c r="E31" s="14" t="s">
        <v>30</v>
      </c>
      <c r="F31" s="27" t="s">
        <v>77</v>
      </c>
      <c r="G31" s="16" t="s">
        <v>78</v>
      </c>
      <c r="H31" s="17" t="s">
        <v>199</v>
      </c>
      <c r="I31" s="18" t="s">
        <v>200</v>
      </c>
      <c r="J31" s="22" t="s">
        <v>195</v>
      </c>
      <c r="K31" s="28"/>
    </row>
    <row r="32" spans="1:11" ht="25.5" x14ac:dyDescent="0.2">
      <c r="A32" s="10">
        <v>29</v>
      </c>
      <c r="B32" s="41" t="s">
        <v>201</v>
      </c>
      <c r="C32" s="48" t="s">
        <v>202</v>
      </c>
      <c r="D32" s="13" t="s">
        <v>203</v>
      </c>
      <c r="E32" s="14" t="s">
        <v>21</v>
      </c>
      <c r="F32" s="27" t="s">
        <v>180</v>
      </c>
      <c r="G32" s="16" t="s">
        <v>181</v>
      </c>
      <c r="H32" s="17" t="s">
        <v>204</v>
      </c>
      <c r="I32" s="18" t="s">
        <v>205</v>
      </c>
      <c r="J32" s="22" t="s">
        <v>94</v>
      </c>
    </row>
    <row r="33" spans="1:16" ht="32.25" customHeight="1" x14ac:dyDescent="0.2">
      <c r="A33" s="10">
        <v>30</v>
      </c>
      <c r="B33" s="41" t="s">
        <v>206</v>
      </c>
      <c r="C33" s="48" t="s">
        <v>207</v>
      </c>
      <c r="D33" s="13" t="s">
        <v>208</v>
      </c>
      <c r="E33" s="14" t="s">
        <v>52</v>
      </c>
      <c r="F33" s="27" t="s">
        <v>53</v>
      </c>
      <c r="G33" s="16" t="s">
        <v>54</v>
      </c>
      <c r="H33" s="17" t="s">
        <v>209</v>
      </c>
      <c r="I33" s="18" t="s">
        <v>210</v>
      </c>
      <c r="J33" s="22" t="s">
        <v>211</v>
      </c>
    </row>
    <row r="34" spans="1:16" ht="35.25" customHeight="1" x14ac:dyDescent="0.2">
      <c r="A34" s="10">
        <v>31</v>
      </c>
      <c r="B34" s="41" t="s">
        <v>212</v>
      </c>
      <c r="C34" s="48" t="s">
        <v>213</v>
      </c>
      <c r="D34" s="13" t="s">
        <v>214</v>
      </c>
      <c r="E34" s="14" t="s">
        <v>12</v>
      </c>
      <c r="F34" s="27" t="s">
        <v>215</v>
      </c>
      <c r="G34" s="16" t="s">
        <v>216</v>
      </c>
      <c r="H34" s="17" t="s">
        <v>217</v>
      </c>
      <c r="I34" s="18" t="s">
        <v>218</v>
      </c>
      <c r="J34" s="22" t="s">
        <v>219</v>
      </c>
      <c r="L34" s="43"/>
    </row>
    <row r="35" spans="1:16" ht="24" customHeight="1" x14ac:dyDescent="0.2">
      <c r="A35" s="10">
        <v>32</v>
      </c>
      <c r="B35" s="41" t="s">
        <v>220</v>
      </c>
      <c r="C35" s="48" t="s">
        <v>221</v>
      </c>
      <c r="D35" s="13" t="s">
        <v>222</v>
      </c>
      <c r="E35" s="14" t="s">
        <v>12</v>
      </c>
      <c r="F35" s="27" t="s">
        <v>223</v>
      </c>
      <c r="G35" s="16" t="s">
        <v>224</v>
      </c>
      <c r="H35" s="17" t="s">
        <v>225</v>
      </c>
      <c r="I35" s="18" t="s">
        <v>226</v>
      </c>
      <c r="J35" s="22" t="s">
        <v>227</v>
      </c>
      <c r="L35" s="9">
        <f>L34*0.8688%</f>
        <v>0</v>
      </c>
    </row>
    <row r="36" spans="1:16" ht="40.5" customHeight="1" x14ac:dyDescent="0.2">
      <c r="A36" s="10">
        <v>33</v>
      </c>
      <c r="B36" s="41" t="s">
        <v>228</v>
      </c>
      <c r="C36" s="48" t="s">
        <v>229</v>
      </c>
      <c r="D36" s="13" t="s">
        <v>230</v>
      </c>
      <c r="E36" s="14" t="s">
        <v>12</v>
      </c>
      <c r="F36" s="27" t="s">
        <v>231</v>
      </c>
      <c r="G36" s="16" t="s">
        <v>232</v>
      </c>
      <c r="H36" s="17" t="s">
        <v>233</v>
      </c>
      <c r="I36" s="18" t="s">
        <v>234</v>
      </c>
      <c r="J36" s="22" t="s">
        <v>235</v>
      </c>
      <c r="L36" s="44">
        <f>L35*1.08</f>
        <v>0</v>
      </c>
    </row>
    <row r="37" spans="1:16" ht="36" customHeight="1" x14ac:dyDescent="0.2">
      <c r="A37" s="10">
        <v>34</v>
      </c>
      <c r="B37" s="41" t="s">
        <v>236</v>
      </c>
      <c r="C37" s="48" t="s">
        <v>237</v>
      </c>
      <c r="D37" s="13" t="s">
        <v>238</v>
      </c>
      <c r="E37" s="14" t="s">
        <v>30</v>
      </c>
      <c r="F37" s="27" t="s">
        <v>104</v>
      </c>
      <c r="G37" s="16" t="s">
        <v>105</v>
      </c>
      <c r="H37" s="17" t="s">
        <v>239</v>
      </c>
      <c r="I37" s="18" t="s">
        <v>240</v>
      </c>
      <c r="J37" s="22" t="s">
        <v>195</v>
      </c>
    </row>
    <row r="38" spans="1:16" ht="32.25" customHeight="1" x14ac:dyDescent="0.2">
      <c r="A38" s="10">
        <v>36</v>
      </c>
      <c r="B38" s="41" t="s">
        <v>241</v>
      </c>
      <c r="C38" s="48" t="s">
        <v>242</v>
      </c>
      <c r="D38" s="13" t="s">
        <v>243</v>
      </c>
      <c r="E38" s="14" t="s">
        <v>244</v>
      </c>
      <c r="F38" s="27" t="s">
        <v>125</v>
      </c>
      <c r="G38" s="16" t="s">
        <v>126</v>
      </c>
      <c r="H38" s="17" t="s">
        <v>245</v>
      </c>
      <c r="I38" s="18" t="s">
        <v>246</v>
      </c>
      <c r="J38" s="22" t="s">
        <v>247</v>
      </c>
      <c r="N38" s="26">
        <v>19500000</v>
      </c>
      <c r="O38" s="45">
        <f>N38-N39</f>
        <v>6000000</v>
      </c>
      <c r="P38" s="28">
        <f>N38/1.1</f>
        <v>17727272.727272727</v>
      </c>
    </row>
    <row r="39" spans="1:16" ht="102" x14ac:dyDescent="0.2">
      <c r="A39" s="10">
        <v>37</v>
      </c>
      <c r="B39" s="41" t="s">
        <v>248</v>
      </c>
      <c r="C39" s="48" t="s">
        <v>249</v>
      </c>
      <c r="D39" s="13" t="s">
        <v>250</v>
      </c>
      <c r="E39" s="14" t="s">
        <v>12</v>
      </c>
      <c r="F39" s="27" t="s">
        <v>251</v>
      </c>
      <c r="G39" s="16" t="s">
        <v>252</v>
      </c>
      <c r="H39" s="17" t="s">
        <v>253</v>
      </c>
      <c r="I39" s="18" t="s">
        <v>254</v>
      </c>
      <c r="J39" s="22" t="s">
        <v>114</v>
      </c>
      <c r="N39" s="26">
        <v>13500000</v>
      </c>
      <c r="O39" s="20"/>
      <c r="P39" s="28">
        <f>P38*0.3</f>
        <v>5318181.8181818174</v>
      </c>
    </row>
    <row r="40" spans="1:16" ht="46.5" customHeight="1" x14ac:dyDescent="0.2">
      <c r="A40" s="10">
        <v>38</v>
      </c>
      <c r="B40" s="41" t="s">
        <v>255</v>
      </c>
      <c r="C40" s="48" t="s">
        <v>256</v>
      </c>
      <c r="D40" s="13" t="s">
        <v>257</v>
      </c>
      <c r="E40" s="14" t="s">
        <v>258</v>
      </c>
      <c r="F40" s="27" t="s">
        <v>259</v>
      </c>
      <c r="G40" s="16" t="s">
        <v>260</v>
      </c>
      <c r="H40" s="17" t="s">
        <v>261</v>
      </c>
      <c r="I40" s="18" t="s">
        <v>262</v>
      </c>
      <c r="J40" s="22" t="s">
        <v>263</v>
      </c>
      <c r="K40" s="9" t="s">
        <v>264</v>
      </c>
    </row>
    <row r="41" spans="1:16" ht="32.25" customHeight="1" x14ac:dyDescent="0.2">
      <c r="A41" s="10">
        <v>39</v>
      </c>
      <c r="B41" s="41" t="s">
        <v>265</v>
      </c>
      <c r="C41" s="48" t="s">
        <v>266</v>
      </c>
      <c r="D41" s="13" t="s">
        <v>267</v>
      </c>
      <c r="E41" s="14" t="s">
        <v>30</v>
      </c>
      <c r="F41" s="27" t="s">
        <v>53</v>
      </c>
      <c r="G41" s="16" t="s">
        <v>54</v>
      </c>
      <c r="H41" s="17" t="s">
        <v>268</v>
      </c>
      <c r="I41" s="18" t="s">
        <v>269</v>
      </c>
      <c r="J41" s="22" t="s">
        <v>270</v>
      </c>
      <c r="K41" s="9" t="s">
        <v>271</v>
      </c>
    </row>
    <row r="42" spans="1:16" ht="32.25" customHeight="1" x14ac:dyDescent="0.2">
      <c r="A42" s="10">
        <v>40</v>
      </c>
      <c r="B42" s="41" t="s">
        <v>272</v>
      </c>
      <c r="C42" s="48" t="s">
        <v>273</v>
      </c>
      <c r="D42" s="13" t="s">
        <v>274</v>
      </c>
      <c r="E42" s="14" t="s">
        <v>258</v>
      </c>
      <c r="F42" s="27" t="s">
        <v>77</v>
      </c>
      <c r="G42" s="16" t="s">
        <v>78</v>
      </c>
      <c r="H42" s="17" t="s">
        <v>261</v>
      </c>
      <c r="I42" s="18" t="s">
        <v>275</v>
      </c>
      <c r="J42" s="22" t="s">
        <v>263</v>
      </c>
      <c r="L42" s="46">
        <f>85000000/0.7</f>
        <v>121428571.42857143</v>
      </c>
      <c r="N42" s="47">
        <v>6900000000</v>
      </c>
    </row>
    <row r="43" spans="1:16" ht="34.5" customHeight="1" x14ac:dyDescent="0.2">
      <c r="A43" s="10">
        <v>41</v>
      </c>
      <c r="B43" s="41" t="s">
        <v>276</v>
      </c>
      <c r="C43" s="48" t="s">
        <v>277</v>
      </c>
      <c r="D43" s="13" t="s">
        <v>278</v>
      </c>
      <c r="E43" s="14" t="s">
        <v>244</v>
      </c>
      <c r="F43" s="27" t="s">
        <v>146</v>
      </c>
      <c r="G43" s="16" t="s">
        <v>147</v>
      </c>
      <c r="H43" s="17" t="s">
        <v>279</v>
      </c>
      <c r="I43" s="18" t="s">
        <v>280</v>
      </c>
      <c r="J43" s="22" t="s">
        <v>247</v>
      </c>
      <c r="N43" s="47">
        <f>N42*0.05%</f>
        <v>3450000</v>
      </c>
    </row>
    <row r="44" spans="1:16" ht="25.5" x14ac:dyDescent="0.2">
      <c r="A44" s="10">
        <v>42</v>
      </c>
      <c r="B44" s="41" t="s">
        <v>281</v>
      </c>
      <c r="C44" s="48" t="s">
        <v>282</v>
      </c>
      <c r="D44" s="13" t="s">
        <v>283</v>
      </c>
      <c r="E44" s="14" t="s">
        <v>30</v>
      </c>
      <c r="F44" s="27" t="s">
        <v>53</v>
      </c>
      <c r="G44" s="16" t="s">
        <v>54</v>
      </c>
      <c r="H44" s="17" t="s">
        <v>284</v>
      </c>
      <c r="I44" s="18" t="s">
        <v>285</v>
      </c>
      <c r="J44" s="22" t="s">
        <v>286</v>
      </c>
      <c r="N44" s="47">
        <f>N43*1.1</f>
        <v>3795000.0000000005</v>
      </c>
    </row>
    <row r="45" spans="1:16" ht="25.5" x14ac:dyDescent="0.2">
      <c r="A45" s="10">
        <v>43</v>
      </c>
      <c r="B45" s="41" t="s">
        <v>287</v>
      </c>
      <c r="C45" s="48" t="s">
        <v>288</v>
      </c>
      <c r="D45" s="13" t="s">
        <v>289</v>
      </c>
      <c r="E45" s="14" t="s">
        <v>244</v>
      </c>
      <c r="F45" s="27" t="s">
        <v>77</v>
      </c>
      <c r="G45" s="16" t="s">
        <v>78</v>
      </c>
      <c r="H45" s="17" t="s">
        <v>279</v>
      </c>
      <c r="I45" s="18" t="s">
        <v>290</v>
      </c>
      <c r="J45" s="22" t="s">
        <v>247</v>
      </c>
    </row>
    <row r="49" spans="2:10" ht="15.75" customHeight="1" x14ac:dyDescent="0.2">
      <c r="I49" s="47"/>
    </row>
    <row r="50" spans="2:10" ht="15.75" customHeight="1" x14ac:dyDescent="0.2">
      <c r="I50" s="47"/>
    </row>
    <row r="51" spans="2:10" ht="15.75" customHeight="1" x14ac:dyDescent="0.2">
      <c r="I51" s="47"/>
    </row>
    <row r="52" spans="2:10" ht="15.75" customHeight="1" x14ac:dyDescent="0.2">
      <c r="I52" s="47"/>
    </row>
    <row r="59" spans="2:10" s="52" customFormat="1" ht="15.75" customHeight="1" x14ac:dyDescent="0.2">
      <c r="B59" s="49"/>
      <c r="C59" s="9"/>
      <c r="D59" s="49"/>
      <c r="E59" s="9"/>
      <c r="F59" s="9"/>
      <c r="G59" s="9"/>
      <c r="H59" s="50"/>
      <c r="I59" s="9"/>
      <c r="J59" s="51"/>
    </row>
    <row r="60" spans="2:10" s="52" customFormat="1" ht="15.75" customHeight="1" x14ac:dyDescent="0.2">
      <c r="B60" s="49"/>
      <c r="C60" s="9"/>
      <c r="D60" s="49"/>
      <c r="E60" s="9"/>
      <c r="F60" s="9"/>
      <c r="G60" s="9"/>
      <c r="H60" s="50"/>
      <c r="I60" s="9"/>
      <c r="J60" s="51"/>
    </row>
    <row r="61" spans="2:10" s="52" customFormat="1" ht="15.75" customHeight="1" x14ac:dyDescent="0.2">
      <c r="B61" s="49"/>
      <c r="C61" s="9"/>
      <c r="D61" s="49"/>
      <c r="E61" s="9"/>
      <c r="F61" s="9"/>
      <c r="G61" s="9"/>
      <c r="H61" s="50"/>
      <c r="I61" s="9"/>
      <c r="J61" s="51"/>
    </row>
    <row r="62" spans="2:10" s="52" customFormat="1" ht="15.75" customHeight="1" x14ac:dyDescent="0.2">
      <c r="B62" s="49"/>
      <c r="C62" s="9"/>
      <c r="D62" s="49"/>
      <c r="E62" s="9"/>
      <c r="F62" s="9"/>
      <c r="G62" s="9"/>
      <c r="H62" s="50"/>
      <c r="I62" s="9"/>
      <c r="J62" s="51"/>
    </row>
    <row r="63" spans="2:10" s="52" customFormat="1" ht="15.75" customHeight="1" x14ac:dyDescent="0.2">
      <c r="B63" s="49"/>
      <c r="C63" s="9"/>
      <c r="D63" s="49"/>
      <c r="E63" s="9"/>
      <c r="F63" s="9"/>
      <c r="G63" s="9"/>
      <c r="H63" s="50"/>
      <c r="I63" s="9"/>
      <c r="J63" s="51"/>
    </row>
    <row r="64" spans="2:10" s="52" customFormat="1" ht="15.75" customHeight="1" x14ac:dyDescent="0.2">
      <c r="B64" s="49"/>
      <c r="C64" s="9"/>
      <c r="D64" s="49"/>
      <c r="E64" s="9"/>
      <c r="F64" s="9"/>
      <c r="G64" s="9"/>
      <c r="H64" s="50"/>
      <c r="I64" s="9"/>
      <c r="J64" s="51"/>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THANG 3.2026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Trường pnt</dc:creator>
  <cp:lastModifiedBy>Trường pnt</cp:lastModifiedBy>
  <dcterms:created xsi:type="dcterms:W3CDTF">2026-04-23T12:01:49Z</dcterms:created>
  <dcterms:modified xsi:type="dcterms:W3CDTF">2026-04-23T12:05:03Z</dcterms:modified>
</cp:coreProperties>
</file>