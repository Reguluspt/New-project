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25f1c279e65ba5/Desktop/Nháp/"/>
    </mc:Choice>
  </mc:AlternateContent>
  <xr:revisionPtr revIDLastSave="0" documentId="8_{6DA28B63-0625-4B9C-8526-49F520B1B757}" xr6:coauthVersionLast="47" xr6:coauthVersionMax="47" xr10:uidLastSave="{00000000-0000-0000-0000-000000000000}"/>
  <bookViews>
    <workbookView xWindow="-120" yWindow="-120" windowWidth="51840" windowHeight="21120" xr2:uid="{EAAC423F-D7C1-4C8F-BB28-9D0613989A8B}"/>
  </bookViews>
  <sheets>
    <sheet name="Up Hs" sheetId="1" r:id="rId1"/>
  </sheets>
  <definedNames>
    <definedName name="_xlnm._FilterDatabase" localSheetId="0" hidden="1">'Up Hs'!$H$1:$H$50</definedName>
    <definedName name="Danh_Sach_Doi_Tac">OFFSET('Up Hs'!$H$2,0,0,COUNTA('Up Hs'!$H:$H)-1.1)</definedName>
    <definedName name="Ds_Doi_Tac_tm">OFFSET('Up Hs'!$H$2,MATCH('Up Hs'!A1&amp;"*",Danh_Sach_Doi_Tac,0)-1,0,COUNTIF(Danh_Sach_Doi_Tac,'Up Hs'!A1&amp;"*"),1)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1359" i="1" l="1"/>
  <c r="J1335" i="1"/>
  <c r="J1336" i="1" s="1"/>
  <c r="J1357" i="1" s="1"/>
  <c r="J1313" i="1"/>
  <c r="K1126" i="1"/>
  <c r="H1023" i="1"/>
  <c r="I834" i="1"/>
  <c r="J832" i="1"/>
  <c r="I832" i="1"/>
  <c r="I833" i="1" s="1"/>
  <c r="I790" i="1"/>
  <c r="I791" i="1" s="1"/>
  <c r="G695" i="1"/>
  <c r="H694" i="1"/>
  <c r="H695" i="1" s="1"/>
  <c r="O430" i="1"/>
  <c r="J388" i="1"/>
  <c r="G386" i="1"/>
  <c r="N382" i="1"/>
  <c r="N378" i="1"/>
  <c r="N379" i="1" s="1"/>
  <c r="N380" i="1" s="1"/>
  <c r="G371" i="1"/>
  <c r="G372" i="1" s="1"/>
  <c r="J339" i="1"/>
  <c r="G263" i="1"/>
  <c r="G264" i="1" s="1"/>
  <c r="J255" i="1"/>
  <c r="J256" i="1" s="1"/>
  <c r="G180" i="1"/>
  <c r="O151" i="1"/>
  <c r="O150" i="1"/>
  <c r="E16" i="1"/>
  <c r="E14" i="1"/>
  <c r="D13" i="1" s="1"/>
  <c r="D14" i="1"/>
  <c r="I835" i="1" l="1"/>
  <c r="O152" i="1"/>
  <c r="N383" i="1"/>
  <c r="N384" i="1" s="1"/>
  <c r="N385" i="1" s="1"/>
  <c r="I836" i="1"/>
  <c r="I837" i="1"/>
</calcChain>
</file>

<file path=xl/sharedStrings.xml><?xml version="1.0" encoding="utf-8"?>
<sst xmlns="http://schemas.openxmlformats.org/spreadsheetml/2006/main" count="432" uniqueCount="417">
  <si>
    <t>THÔNG TIN HỒ SƠ</t>
  </si>
  <si>
    <t>Mục Đích Thẩm Định</t>
  </si>
  <si>
    <t>Đối Tác</t>
  </si>
  <si>
    <t>Loại Tài Sản</t>
  </si>
  <si>
    <t>Chuyên Viên</t>
  </si>
  <si>
    <t>Số hợp đồng</t>
  </si>
  <si>
    <t>010/2026/N04-1000/DN</t>
  </si>
  <si>
    <t>Phường An Khê, tỉnh Gia Lai</t>
  </si>
  <si>
    <t>Làm cơ sở tham khảo để thế chấp vay vốn tại Vietcombank</t>
  </si>
  <si>
    <t>Agribank Đông Gia Lai - Mr Lâm - 0987694599</t>
  </si>
  <si>
    <t>Bất động sản đơn lẻ</t>
  </si>
  <si>
    <t>Thampt2</t>
  </si>
  <si>
    <t>Agribank Đông Gia Lai - Mr Lâm - 0986694599</t>
  </si>
  <si>
    <t>Chưa sơ bộ</t>
  </si>
  <si>
    <t>Thông tin tài sản thẩm định giá</t>
  </si>
  <si>
    <t>Ts vay chính sách An Khê</t>
  </si>
  <si>
    <t>Làm cơ sở tham khảo để thế chấp vay vốn tại Sacombank</t>
  </si>
  <si>
    <t>Agribank Đông Gia Lai - Mr Thịnh - 0934196214</t>
  </si>
  <si>
    <t>Căn hộ chung cư</t>
  </si>
  <si>
    <t>Nhungnth16</t>
  </si>
  <si>
    <t>Agribank Đông Gia Lai - Mr Thịnh - 0934196114</t>
  </si>
  <si>
    <t>Đã sơ bộ</t>
  </si>
  <si>
    <t>Loại tài sản</t>
  </si>
  <si>
    <t>BĐS đặc thù khác</t>
  </si>
  <si>
    <t>Làm cơ sở tham khảo để thế chấp vay vốn tại ngân hàng BIDV</t>
  </si>
  <si>
    <t>Agribank Đông Gia Lai - Ms Hồng - 0963040584</t>
  </si>
  <si>
    <t>Phương tiện vận tải</t>
  </si>
  <si>
    <t>Truongpnt</t>
  </si>
  <si>
    <t>Agribank Đông Gia Lai - Ms Hồng - 0965040584</t>
  </si>
  <si>
    <t>Tài sản thẩm định giá</t>
  </si>
  <si>
    <t>Thửa đất số 43 tờ bản đồ số 12; tại địa chỉ tổ 2, An Tân, phường An Khê, tỉnh Gia Lai.</t>
  </si>
  <si>
    <t>Làm cơ sở tham khảo để thế chấp vay vốn tại ngân hàng chính sách xã hội tỉnh Gia Lai</t>
  </si>
  <si>
    <t>Agribank Đông Gia Lai - Ms. Huyền - 0912999933</t>
  </si>
  <si>
    <t>Máy móc thiết bị</t>
  </si>
  <si>
    <t>Agribank Đông Gia Lai - Ms. Huyền - 0962999933</t>
  </si>
  <si>
    <t>Sơ bộ</t>
  </si>
  <si>
    <t>Làm cơ sở tham khảo để xử lý tài sản đảm bảo tại ngân hàng</t>
  </si>
  <si>
    <t>BIDV Nam Gia Lai - Mr. Dương - 0902155345</t>
  </si>
  <si>
    <t>Hồ sơ CB</t>
  </si>
  <si>
    <t>BIDV Nam Gia Lai - Mr. Dương - 0902151345</t>
  </si>
  <si>
    <t>Thời gian dự kiến hoàn thành</t>
  </si>
  <si>
    <t>Làm cơ sở tham khảo để thế chấp vay vốn tại Agribank</t>
  </si>
  <si>
    <t>BIDV Nam Gia Lai - Mr. Đạt - 0977842687</t>
  </si>
  <si>
    <t>BIDV Nam Gia Lai - Mr. Đạt - 0977822687</t>
  </si>
  <si>
    <t>Thông tin đối tác*</t>
  </si>
  <si>
    <t>Làm cơ sở tham khảo để thế chấp vay vốn tại MSB</t>
  </si>
  <si>
    <t>BIDV Nam Gia Lai - Mr. Huy - 0975572634</t>
  </si>
  <si>
    <t>Danh mục Phương tiện vận tải</t>
  </si>
  <si>
    <t>BIDV Nam Gia Lai - Mr. Huy - 0975172634</t>
  </si>
  <si>
    <t>Mục đích thẩm định</t>
  </si>
  <si>
    <t>Làm cơ sở tham khảo để thế chấp vay vốn tại Co-op Bank</t>
  </si>
  <si>
    <t>BIDV Nam Gia Lai - Mr. Thành - 0905026588</t>
  </si>
  <si>
    <t>Danh mục Máy móc thiết bị</t>
  </si>
  <si>
    <t>BIDV Nam Gia Lai - Mr. Thành - 0905046588</t>
  </si>
  <si>
    <t>Nguồn</t>
  </si>
  <si>
    <t>NHCS An Khê - Ms Như - 0905505717</t>
  </si>
  <si>
    <t>Làm cơ sở tham khảo để thế chấp vay vốn tại VP Bank</t>
  </si>
  <si>
    <t>BIDV Nam Gia Lai - Mr. Thảo - 0986769749</t>
  </si>
  <si>
    <t>Khách sạn, khu nghỉ dưỡng</t>
  </si>
  <si>
    <t>BIDV Nam Gia Lai - Mr. Thảo - 0986469749</t>
  </si>
  <si>
    <t>Thông tin khách hàng</t>
  </si>
  <si>
    <t>Ông Đinh Trường Hận - 0908666884 (Thu tiền)</t>
  </si>
  <si>
    <t>Làm cơ sở tham khảo để thế chấp vay vốn tại SeABank</t>
  </si>
  <si>
    <t>BIDV Nam Gia Lai - Mrs. Vân - 0908684173</t>
  </si>
  <si>
    <t>Dự án</t>
  </si>
  <si>
    <t>BIDV Nam Gia Lai - Mrs. Vân - 0905684173</t>
  </si>
  <si>
    <t>Phí dịch vụ</t>
  </si>
  <si>
    <t>Làm cơ sở tham khảo để thế chấp vay vốn tại Vietinbank</t>
  </si>
  <si>
    <t>BIDV Nam Gia Lai - Mr Hoà - 0932447049</t>
  </si>
  <si>
    <t>Cổ phiếu/Trái phiếu</t>
  </si>
  <si>
    <t>Phí thẩm định</t>
  </si>
  <si>
    <t>Làm cơ sở tham khảo để thế chấp vay vốn tại Esun Bank</t>
  </si>
  <si>
    <t>BIDV Nam Gia Lai - Mr Sửu - 0935945179</t>
  </si>
  <si>
    <t>Doanh nghiệp</t>
  </si>
  <si>
    <t>BIDV Nam Gia Lai - Mr Phú - 0935945179</t>
  </si>
  <si>
    <t>Phí kê (nếu có)</t>
  </si>
  <si>
    <t>Làm cơ sở tham khảo để thế chấp vay vốn tại MB Bank</t>
  </si>
  <si>
    <t>BIDV Phố Núi - Ms Quỳnh Anh - 0975172634</t>
  </si>
  <si>
    <t>Combo bất động sản</t>
  </si>
  <si>
    <t>Tạm ứng</t>
  </si>
  <si>
    <t>Co-op Bank - Ms. Liên - 0978133997</t>
  </si>
  <si>
    <t>Co-op Bank - Ms. Liên - 0978033997</t>
  </si>
  <si>
    <t>Chi phí khảo sát (nếu có)</t>
  </si>
  <si>
    <t>KHN</t>
  </si>
  <si>
    <t>Thành phần tham gia</t>
  </si>
  <si>
    <t>MSB Gia Lai - Mr. Nguyên - 0976171603</t>
  </si>
  <si>
    <t>MSB Gia Lai - Mr. Nguyên - 0976181603</t>
  </si>
  <si>
    <t>Chuyên viên kinh doanh</t>
  </si>
  <si>
    <t>MSB Gia Lai - Mr. Thắng - 0793656097</t>
  </si>
  <si>
    <t>MSB Gia Lai - Mr. Thắng - 0793656997</t>
  </si>
  <si>
    <t>Chuyên viên nghiệp vụ</t>
  </si>
  <si>
    <t>MSB Gia Lai - Ms Tình - 0961043023</t>
  </si>
  <si>
    <t>MSB Gia Lai - Ms Tình - 0961044023</t>
  </si>
  <si>
    <t>Kiểm soát</t>
  </si>
  <si>
    <t>MSB Kon Tum - Mr Huy - 0922309786</t>
  </si>
  <si>
    <t>MSB Kon Tum - Mr Huy - 0902309786</t>
  </si>
  <si>
    <t>Ghi chú khác (nếu có)</t>
  </si>
  <si>
    <t>MSB Kon Tum - Ms Loan - 0919235099</t>
  </si>
  <si>
    <t>MSB Kon Tum - Ms Loan - 0919335099</t>
  </si>
  <si>
    <t>Liên hệ khách hàng lấy pháp lý đầy đủ (nếu cần)</t>
  </si>
  <si>
    <t>NHCS An Khê - Ms Như - 0905509717</t>
  </si>
  <si>
    <t>NHCS Chư Pưh - Mr. Hưng - 096775449</t>
  </si>
  <si>
    <t>NHCS Chư Pưh - Mr. Hưng - 096874449</t>
  </si>
  <si>
    <t>NHCS Đak Pơ - Ms Chi - 0362935570</t>
  </si>
  <si>
    <t>NHCS Đak Pơ - Ms Chi - 0362930570</t>
  </si>
  <si>
    <t>NHCS Đức Cơ - Mr. Tuân - 0399244050</t>
  </si>
  <si>
    <t>NHCS Đức Cơ - Mr. Tuân - 0399144050</t>
  </si>
  <si>
    <t>NHCS Chư Păh - Mr Tý - 0336538807</t>
  </si>
  <si>
    <t>NHCS Chư Păh - Mr Tý - 0336537807</t>
  </si>
  <si>
    <t>NHCS Gia Lai - Ms Huyền - 0942671909</t>
  </si>
  <si>
    <t>NHCS Gia Lai - Ms Huyền - 0942670909</t>
  </si>
  <si>
    <t>NHCS Kbang - Ms Nga - 0968147399</t>
  </si>
  <si>
    <t>NHCS Kbang - Ms Nga - 0968137399</t>
  </si>
  <si>
    <t>NHCS Kông Chro - Ms Hải - 0979745029</t>
  </si>
  <si>
    <t>NHCS Kông Chro - Ms Hải - 0979735029</t>
  </si>
  <si>
    <t>Sacombank Gia Lai - Mr Phú - 0347990001</t>
  </si>
  <si>
    <t>Sacombank Gia Lai - Mr Phú - 0347990000</t>
  </si>
  <si>
    <t>Sacombank Gia Lai - Mr Sơn - 0935885888</t>
  </si>
  <si>
    <t>Sacombank Gia Lai - Mr Sơn - 0935885881</t>
  </si>
  <si>
    <t>Sacombank Gia Lai - Mr Tiền - 0986383187</t>
  </si>
  <si>
    <t>Sacombank Gia Lai - Mr Tiền - 0986183187</t>
  </si>
  <si>
    <t>MB AMC - Anh An - 0979043739</t>
  </si>
  <si>
    <t>Sacombank Gia Lai - Mr Bình - 0937393357</t>
  </si>
  <si>
    <t>Sacombank Gia Lai - Mr Bình - 0937391357</t>
  </si>
  <si>
    <t>Sacombank Gia Lai - Mr Hoàng - 0964596968</t>
  </si>
  <si>
    <t>Sacombank Gia Lai - Mr Hoàng - 0964496968</t>
  </si>
  <si>
    <t>Sacombank Gia Lai - Mr Huy 0949091669</t>
  </si>
  <si>
    <t>Sacombank Gia Lai - Mr Huy 0949091569</t>
  </si>
  <si>
    <t>Sacombank Gia Lai - Mr Sơn - 0935886881</t>
  </si>
  <si>
    <t>Sacombank Gia Lai - Mr Tiền - 0986183287</t>
  </si>
  <si>
    <t>Sacombank Gia Lai - Mr Tiền - 0986183187</t>
  </si>
  <si>
    <t>Sacombank Gia Lai - Mr Thành - 0966860071</t>
  </si>
  <si>
    <t>Sacombank Gia Lai - Mr Thắng 0905834222</t>
  </si>
  <si>
    <t>Sacombank Gia Lai - Mr Thắng 0905831222</t>
  </si>
  <si>
    <t>Sacombank Gia Lai - Mr Trung - 0904423567</t>
  </si>
  <si>
    <t>Sacombank Gia Lai - Mr Trung - 0904422567</t>
  </si>
  <si>
    <t>Sacombank PGD An Khê - Mr Bảo - 0905816851</t>
  </si>
  <si>
    <t>Sacombank PGD An Khê - Mr Bảo - 0905815851</t>
  </si>
  <si>
    <t>Sacombank PGD Chư Sê - Mr Tuấn - 0927715345</t>
  </si>
  <si>
    <t>Sacombank PGD Chư Sê - Mr Tuấn - 0927712345</t>
  </si>
  <si>
    <t>VCB Gia Lai - Mr Bảo - 0988849465</t>
  </si>
  <si>
    <t>VCB Gia Lai - Mr Bảo - 0988849365</t>
  </si>
  <si>
    <t>VCB Gia Lai - Mr Chung - 0971012468</t>
  </si>
  <si>
    <t>VCB Gia Lai - Mr Chung - 0971002468</t>
  </si>
  <si>
    <t>VCB Gia Lai - Mr Dũng - 0986695599</t>
  </si>
  <si>
    <t>VCB Gia Lai - Mr Dũng - 0986694599</t>
  </si>
  <si>
    <t>VCB Gia Lai - Mr Quốc - 0973382377</t>
  </si>
  <si>
    <t>VCB Gia Lai - Mr Quốc - 0973382277</t>
  </si>
  <si>
    <t>VCB Gia Lai - Mr. An - 0908357358</t>
  </si>
  <si>
    <t>VCB Gia Lai - Mr. An - 0908357258</t>
  </si>
  <si>
    <t>VCB Gia Lai - Mr. Biển - 0987531815</t>
  </si>
  <si>
    <t>VCB Gia Lai - Mr. Biển - 0987231815</t>
  </si>
  <si>
    <t>VCB Gia Lai - Mr. Chí - 0989257355</t>
  </si>
  <si>
    <t>VCB Gia Lai - Mr. Chí - 0989247355</t>
  </si>
  <si>
    <t>VCB Gia Lai - Mr. Duy - 0394892676</t>
  </si>
  <si>
    <t>VCB Gia Lai - Mr. Duy - 0393892676</t>
  </si>
  <si>
    <t>VCB Gia Lai - Mr. Hạnh - 0968698125</t>
  </si>
  <si>
    <t>VCB Gia Lai - Mr. Hạnh - 0968691125</t>
  </si>
  <si>
    <t>VCB Gia Lai - Mr. Hiếu - 0983543155</t>
  </si>
  <si>
    <t>VCB Gia Lai - Mr. Hiếu - 0983523155</t>
  </si>
  <si>
    <t>VCB Gia Lai - Mr. Huệ - 0982527259</t>
  </si>
  <si>
    <t>VCB Gia Lai - Mr. Huệ - 0982227259</t>
  </si>
  <si>
    <t>VCB Gia Lai - Mr. Khoa - 0394941787</t>
  </si>
  <si>
    <t>VCB Gia Lai - Mr. Khoa - 0394940787</t>
  </si>
  <si>
    <t>VCB Gia Lai - Mr. Nhật - 0934683488</t>
  </si>
  <si>
    <t>VCB Gia Lai - Mr. Nhật - 0914683488</t>
  </si>
  <si>
    <t>VCB Gia Lai - Ms. Đức - 0356766939</t>
  </si>
  <si>
    <t>VCB Gia Lai - Ms. Đức - 0346763939</t>
  </si>
  <si>
    <t>VCB Gia Lai - Ms. Huyền - 0979788115</t>
  </si>
  <si>
    <t>VCB Gia Lai - Ms. Huyền - 0979708117</t>
  </si>
  <si>
    <t>VCB Gia Lai - Ms. Thùy - 0904347401</t>
  </si>
  <si>
    <t>VCB Gia Lai - Ms. Thùy - 0902247401</t>
  </si>
  <si>
    <t>VCB Gia Lai - Ms. Yến - 0935837579</t>
  </si>
  <si>
    <t>VCB Gia Lai - Ms. Yến - 0934827579</t>
  </si>
  <si>
    <t>VCB Gia Lai - Mr Cường - 0905569787</t>
  </si>
  <si>
    <t>VCB Gia Lai - Mr Cường - 0905509717</t>
  </si>
  <si>
    <t>VCB Gia Lai - Mr Hoàng - 0905731389</t>
  </si>
  <si>
    <t>VCB Gia Lai - Mr Hoàng - 0905731279</t>
  </si>
  <si>
    <t>VCB Kon Tum - Mr Cường - 0969989557</t>
  </si>
  <si>
    <t>VCB Kon Tum - Mr Cường - 0969986557</t>
  </si>
  <si>
    <t>VCB Kon Tum - Mr Dũng - 0379497883</t>
  </si>
  <si>
    <t>VCB Kon Tum - Mr Dũng - 0379497823</t>
  </si>
  <si>
    <t>VCB Kon Tum - Mr Linh - 0936253879</t>
  </si>
  <si>
    <t>VCB Kon Tum - Mr Linh - 0936053879</t>
  </si>
  <si>
    <t>VCB Kon Tum - Mr Phong - 0901686789</t>
  </si>
  <si>
    <t>VCB Kon Tum - Mr Phong - 0901685789</t>
  </si>
  <si>
    <t>VCB Kon Tum - Mr Trường 0979197889</t>
  </si>
  <si>
    <t>VCB Kon Tum - Mr Trường 0979197189</t>
  </si>
  <si>
    <t>VCB Kon Tum - Mr. Dương - 0911737977</t>
  </si>
  <si>
    <t>VCB Kon Tum - Mr. Dương - 0911717977</t>
  </si>
  <si>
    <t>VCB Kon Tum - Mr. Đăng - 0366097829</t>
  </si>
  <si>
    <t>VCB Kon Tum - Mr. Đăng - 0366097827</t>
  </si>
  <si>
    <t>VCB Kon Tum - Ms Châu - 0347661113</t>
  </si>
  <si>
    <t>VCB Kon Tum - Ms Châu - 0347661111</t>
  </si>
  <si>
    <t>VCB Kon Tum - Ms Huyền - 0905288468</t>
  </si>
  <si>
    <t>VCB Kon Tum - Ms Huyền - 0905258468</t>
  </si>
  <si>
    <t>VCB Kon Tum - Ms Nhung - 0942399091</t>
  </si>
  <si>
    <t>VCB Kon Tum - Ms Nhung - 0942399099</t>
  </si>
  <si>
    <t>VCB Kon Tum - Ms Thúy - 0933549159</t>
  </si>
  <si>
    <t>VCB Kon Tum - Ms Thúy - 0933149159</t>
  </si>
  <si>
    <t>VCB Ngọc Hồi - Mr. Cường - 0971765333</t>
  </si>
  <si>
    <t>VCB Ngọc Hồi - Mr. Cường - 0971755333</t>
  </si>
  <si>
    <t>Viettinbank Kon Tum - Mr. Triều - 0822328285</t>
  </si>
  <si>
    <t>Viettinbank - Mr. Triều - 0822328282</t>
  </si>
  <si>
    <t>BIDV Nam Gia Lai - chị Huyền - 0905359835</t>
  </si>
  <si>
    <t>VCB Gia Lai - Ms. Huyền - 0942670909</t>
  </si>
  <si>
    <t>Sacombank Đăk Lắc - Mr Tuấn - 0977487743</t>
  </si>
  <si>
    <t>VCB Đắk Lắk - Chị Thủy trưởng phòng CN - 0977667689</t>
  </si>
  <si>
    <t>VCB Đắk Nông - Mr. Bec Lin - 0905351357</t>
  </si>
  <si>
    <t>VCB Đắk Lắk - Anh Giang trưởng phòng DN - 0905197666</t>
  </si>
  <si>
    <t>VCB Đắk Nông - Như Ý - 0969742048</t>
  </si>
  <si>
    <t>74 Huỳnh Thúc Kháng, P. Nghĩa Thành, TP. Gia Nghĩa, T. Đắk Nông</t>
  </si>
  <si>
    <t>VCB Đắk Lắk - Chị Hoa trưởng phòng XLN - 0979776939</t>
  </si>
  <si>
    <t>VCB Đắk Lắk - Mr. Chiến - 0905816363</t>
  </si>
  <si>
    <t>VCB Đắk Lắk - Anh Cường trưởng PGD Phước An - 0905553000</t>
  </si>
  <si>
    <t>VCB Đắk Lắk - Chúc Phương - 0906847503</t>
  </si>
  <si>
    <t>VCB Đắk Lắk - Anh Ninh trưởng PGD Quang Trung - 0914010326</t>
  </si>
  <si>
    <t>VCB Đắk Lắk - Thảo trưởng PGD Tất Thành - 0945782244</t>
  </si>
  <si>
    <t>VCB Vinh - Ms. Hương - 0984067716</t>
  </si>
  <si>
    <t>VCB Đắk Lắk - Anh Chinh trưởng PGD Eakar - 0905359141</t>
  </si>
  <si>
    <t>VCB Đắk Lắk - Mr. Phú - 0906510379</t>
  </si>
  <si>
    <t>VCB Đắk Lắk - Anh Nam trưởng PGD Cư Kuin - 0905359141</t>
  </si>
  <si>
    <t>VCB Đắk Lắk - Mr. Mạnh - 0988215979</t>
  </si>
  <si>
    <t>VCB Đắk Nông - Anh Tùng trưởng phòng - 0989233456</t>
  </si>
  <si>
    <t>SeaBank Đắk Lắk - Mr. Trí - 0918382480</t>
  </si>
  <si>
    <t>VCB Đắk Nông - Hùng trưởng phòng QLN - 0901440286</t>
  </si>
  <si>
    <t>VCB Đắk Lắk - Mr. Hùng - 0917506338</t>
  </si>
  <si>
    <t>Sacombank Đăk Lắc - Mr Tuấn - 0977477743</t>
  </si>
  <si>
    <t>LỊCH TRÌNH CÔNG TÁC ĐĂK LĂK - ĐĂK NÔNG</t>
  </si>
  <si>
    <t>MB AMC - Mr. Hải - 0967243676</t>
  </si>
  <si>
    <t>VCB Đắk Nông - Mr. Bec Lin - 0905350357</t>
  </si>
  <si>
    <t>Thời gian</t>
  </si>
  <si>
    <t>Nội dung</t>
  </si>
  <si>
    <t>GHI CHÚ</t>
  </si>
  <si>
    <t>SeaBank Đắk Lắk - Mr. Vũ - 0934856816</t>
  </si>
  <si>
    <t>VCB Đắk Nông - Như Ý - 0969741048</t>
  </si>
  <si>
    <t>Tặng quà tết: VCB Đắk Lắk, VCB PGD Phước An, VCB PGD Ea Kar</t>
  </si>
  <si>
    <t>VCB Đắk Nông - Mr. Tùng (Trưởng phòng) - 0989833456</t>
  </si>
  <si>
    <t>VCB Đắk Lắk - Mr. Chiến - 0905716363</t>
  </si>
  <si>
    <t>Tặng quà tết: VCB Bắc Đắk Lắk, VCB PGD Quang Trung, VCB PGD Tất Thành, VCB PGD Cư Kuin</t>
  </si>
  <si>
    <t>VP Bank - Đắk Nông - Mr. Mạnh - 0973499199</t>
  </si>
  <si>
    <t>VCB Đắk Lắk - Chúc Phương - 0906847403</t>
  </si>
  <si>
    <t>Tặng quà tết: VCB Đăk Nông</t>
  </si>
  <si>
    <t>MBAMC - Mr. Ngọc Anh - 0931729449</t>
  </si>
  <si>
    <t>Tất niên Văn phòng tây nguyên</t>
  </si>
  <si>
    <t>Trưa hoặc chiều</t>
  </si>
  <si>
    <t>SeaBank Đắk Lắk - Mr. Phúc - 0358893778</t>
  </si>
  <si>
    <t>VCB Vinh - Ms. Hương - 0984067216</t>
  </si>
  <si>
    <t>VCB Bắc Đắk Lắk - Mr. Tuân - 0947869899</t>
  </si>
  <si>
    <t>VCB Đắk Lắk - Mr. Phú - 0906510079</t>
  </si>
  <si>
    <t>VCB Đắk Lắk - Mr. Tấn - 0914666787</t>
  </si>
  <si>
    <t>VCB Đắk Lắk - Mr. Mạnh - 0988212979</t>
  </si>
  <si>
    <t>MB AMC - Mr. Linh - 0366351567</t>
  </si>
  <si>
    <t>SeaBank Đắk Lắk - Mr. Trí - 0918302480</t>
  </si>
  <si>
    <t>MB AMC - Mr Hoàng - 0902633450</t>
  </si>
  <si>
    <t>VCB Đắk Lắk - Mr. Hùng - 0917504338</t>
  </si>
  <si>
    <t>VCB Bắc Đắk Lắk - Mr. Tấn - 0932418888</t>
  </si>
  <si>
    <t>MB AMC - Mr. Hải - 0967213676</t>
  </si>
  <si>
    <t>VCB Đắk Lắk - Mr. Thắng - 0904563179</t>
  </si>
  <si>
    <t>SeaBank Đắk Lắk - Mr. Vũ - 0934826816</t>
  </si>
  <si>
    <t>VCB Đắk Nông - Mr. Tâm -0963855651</t>
  </si>
  <si>
    <t>VCB Đắk Nông - Mr. Tùng (Trưởng phòng) - 0989233456</t>
  </si>
  <si>
    <t>VCB Đắk Lắk - Ms. Hà - 0986942594</t>
  </si>
  <si>
    <t>VP Bank - Đắk Nông - Mr. Mạnh - 0973459199</t>
  </si>
  <si>
    <t>VCB Đắk Lắk - Mr. Cường - 0905271120</t>
  </si>
  <si>
    <t>MBAMC - Mr. Ngọc Anh - 0931829449</t>
  </si>
  <si>
    <t>MB AMC - Mr. Thanh - 0935664588</t>
  </si>
  <si>
    <t>SeaBank Đắk Lắk - Mr. Phúc - 0358863778</t>
  </si>
  <si>
    <t>VCB Đăk Nông - Mr Trung - 0976787818</t>
  </si>
  <si>
    <t>VCB Bắc Đắk Lắk - Mr. Tuân - 0947859899</t>
  </si>
  <si>
    <t>VP Bank - Đắk Nông - Mr. Cảnh - 0388225846</t>
  </si>
  <si>
    <t>VCB Đắk Lắk - Mr. Tấn - 0914666687</t>
  </si>
  <si>
    <t>VCB Đắk Lắk PGD Phước An - Mr Khải - 0899768383</t>
  </si>
  <si>
    <t>MB AMC - Mr. Linh - 0366341567</t>
  </si>
  <si>
    <t>VCB Đắk Lắk - Ms. Nhung - 0919631291</t>
  </si>
  <si>
    <t>MB AMC - Mr Hoàng - 0902133450</t>
  </si>
  <si>
    <t>VCB Đắk Lắk - Ms. Hòa - 0905886959</t>
  </si>
  <si>
    <t>VCB Bắc Đắk Lắk - Mr. Tấn - 0932413888</t>
  </si>
  <si>
    <t>VCB Đắk Lắk - Mrs. Thùy - 0901948379</t>
  </si>
  <si>
    <t>VCB Đắk Lắk - Mr. Thắng - 0904573179</t>
  </si>
  <si>
    <t>VCB Đắk Lắk - Ms. Thảo - 0327247868</t>
  </si>
  <si>
    <t>VCB Đắk Nông - Mr. Tâm -0963755651</t>
  </si>
  <si>
    <t>VCB Đắk Nông - Ms. Hồng - 0911357379</t>
  </si>
  <si>
    <t>VCB Đắk Lắk - Ms. Hà - 0989942594</t>
  </si>
  <si>
    <t>MB AMC - Mr. Vũ - 0981276382</t>
  </si>
  <si>
    <t>VCB Đắk Lắk - Mr. Cường - 0905201120</t>
  </si>
  <si>
    <t>VCB Đắk Nông - Mr Đề - 0918684646</t>
  </si>
  <si>
    <t>VCB Đắk Lắk - Mr. Dũng - 0916115279</t>
  </si>
  <si>
    <t>VCB Đăk Nông - Mr Trung - 0976780818</t>
  </si>
  <si>
    <t>VCB Đắk Lắk PGD Tất Thành - Ms Tuyết - 0942378778</t>
  </si>
  <si>
    <t xml:space="preserve">VP Bank - Đắk Nông - Mr. Cảnh - 0388220846 </t>
  </si>
  <si>
    <t>VCB Đắk Lắk PGD Tất Thành - Ms Vy - 0824854747</t>
  </si>
  <si>
    <t>VCB Đắk Lắk PGD Phước An - Mr Khải - 0899368383</t>
  </si>
  <si>
    <t>BIDV Đắk Lắk - Mr. Tùng - 0948639963</t>
  </si>
  <si>
    <t>VCB Đắk Lắk - Ms. Nhung - 0919031291</t>
  </si>
  <si>
    <t>VCB Bắc Đắk Lắk - Ms. Thư - 0907120792</t>
  </si>
  <si>
    <t>VCB Đắk Lắk - Ms. Hòa - 0905686959</t>
  </si>
  <si>
    <t>VCB Đắk Lắk - Mrs. Thùy - 0901938379</t>
  </si>
  <si>
    <t>VCB Bắc Đắk Lắk - Mr. Thạch - 0932887998</t>
  </si>
  <si>
    <t>VCB Đắk Lắk - Ms. Thảo - 0327287868</t>
  </si>
  <si>
    <t>VCB Đắk Lắk - Mr. Thành</t>
  </si>
  <si>
    <t>VCB Đắk Nông - Ms. Hồng - 0911337379</t>
  </si>
  <si>
    <t>VCB Đắk Lắk PGD Ea Kar - Mr. Tuấn - 0368696228</t>
  </si>
  <si>
    <t>MB AMC - Mr. Vũ - 0981226382</t>
  </si>
  <si>
    <t>VCB Đắk Lắk - Ms. Phượng - 0906887889</t>
  </si>
  <si>
    <t>VCB Đắk Nông - Mr Đề - 0918634646</t>
  </si>
  <si>
    <t>VCB Bắc Đắk Lắk - Mr Chỉnh - 0974693331</t>
  </si>
  <si>
    <t>VCB Đắk Lắk - Mr. Dũng - 0916105279</t>
  </si>
  <si>
    <t>NHCS Đắk Lăk - Mr Trọng Hùng - 0917514338</t>
  </si>
  <si>
    <t>VCB Đăk Nông - Ms. Phương - 0914772526</t>
  </si>
  <si>
    <t>VCB Đắk Lắk PGD Tất Thành - Ms Tuyết - 0942374778</t>
  </si>
  <si>
    <t>VCB Bắc Đắk Lắk - Ms. Hà - 0945394747</t>
  </si>
  <si>
    <t>VCB Đắk Lắk PGD Tất Thành - Ms Vy - 0824864747</t>
  </si>
  <si>
    <t>VCB Đăk Nông - Mr. Tình - 0857884848</t>
  </si>
  <si>
    <t>BIDV Đắk Lắk - Mr. Tùng - 0948339963</t>
  </si>
  <si>
    <t>VCB Đắk Lắk PGD Tất Thành - Ms Thùy - 0906938379</t>
  </si>
  <si>
    <t>VCB Bắc Đắk Lắk - Ms. Thư - 0907110792</t>
  </si>
  <si>
    <t>VCB Đắk Lắk - Mr Trọng Hùng - 0917514338</t>
  </si>
  <si>
    <t>MB AMC - Anh An - 0979033739</t>
  </si>
  <si>
    <t>VCB Gia Lai - Mr. Khánh - 0974814565</t>
  </si>
  <si>
    <t>VCB Bắc Đắk Lắk - Mr. Thạch - 0932787998</t>
  </si>
  <si>
    <t>BIDV Nam Gia Lai - Mr. Cường - 0984742369</t>
  </si>
  <si>
    <t>VCB Đắk Lắk - Ms. Phương - 0937132195</t>
  </si>
  <si>
    <t>VCB Đắk Lắk PGD Ea Kar - Mr. Tuấn - 0368496228</t>
  </si>
  <si>
    <t>VCB Đắk Lắk - Ms. Vượng - 098 8234464</t>
  </si>
  <si>
    <t>VCB Đắk Lắk - Ms. Phượng - 0906847889</t>
  </si>
  <si>
    <t>VCB Đắk Lắk PGD Phước An - Mr. Phú - 0948846099</t>
  </si>
  <si>
    <t>VCB Bắc Đắk Lắk - Mr Chỉnh - 0974633331</t>
  </si>
  <si>
    <t>VCB Đắk Nông - Mr. Lin - 0905354357</t>
  </si>
  <si>
    <t>VCB Đăk Nông - Ms. Phương - 0914072526</t>
  </si>
  <si>
    <t>VCB Đắk Lắk - Mr. Nam - 0967453488</t>
  </si>
  <si>
    <t>VCB Bắc Đắk Lắk - Ms. Hà - 0941394747</t>
  </si>
  <si>
    <t>VCB Đắk Lắk PGD Phước An - Mr. Chiến - 0905726363</t>
  </si>
  <si>
    <t>VCB Đăk Nông - Mr. Tình - 0857284848</t>
  </si>
  <si>
    <t>VCB Đắk Lắk - Mr. Trung - 09763436364</t>
  </si>
  <si>
    <t>VCB Đắk Lắk PGD Tất Thành - Ms Thùy - 0901938379</t>
  </si>
  <si>
    <t>VCB Đắk Lắk PGD Tất Thành - Ms. Tuyết - 0906652860</t>
  </si>
  <si>
    <t>VCB Đắk Lắk - Mr Trọng Hùng - 0917504338</t>
  </si>
  <si>
    <t>VCB Đắk Lắk - Mr Khải - 0899468383</t>
  </si>
  <si>
    <t>VCB Gia Lai - Mr. Khánh - 0974814505</t>
  </si>
  <si>
    <t>VCB Đắk Lắk PGD Ea Kar - Mr. Thành - 0989351043</t>
  </si>
  <si>
    <t>BIDV Nam Gia Lai - Mr. Cường - 0984740369</t>
  </si>
  <si>
    <t>MB AMC ARR - Mr. Long - 0905266968</t>
  </si>
  <si>
    <t>VCB Đắk Lắk - Ms. Phương - 0937130195</t>
  </si>
  <si>
    <t>VCB Đắk Lắk - Ms. Dung - 0899380579</t>
  </si>
  <si>
    <t>VCB Đắk Lắk - Ms. Vượng - 098 8214464</t>
  </si>
  <si>
    <t>MB AMC Miền Trung - Mr. Chánh - 0703153789</t>
  </si>
  <si>
    <t>VCB Đắk Lắk PGD Phước An - Mr. Phú - 0948840099</t>
  </si>
  <si>
    <t>VCB Đắk Lắk - Mr. Quý - 0346841077</t>
  </si>
  <si>
    <t>VCB Đắk Nông - Mr. Lin - 0905350357</t>
  </si>
  <si>
    <t>VCB Bắc Đắk Lắk - Mr. Phát - 0763662728</t>
  </si>
  <si>
    <t>VCB Đắk Lắk - Mr. Nam - 0967451488</t>
  </si>
  <si>
    <t>VCB Bắc Hà Tĩnh - Mr. Nam - 0987752525</t>
  </si>
  <si>
    <t>VCB Đắk Lắk PGD Phước An - Mr. Chiến - 0905716363</t>
  </si>
  <si>
    <t>VCB Đắk Lắk - Thảo Nguyên - 0563186737</t>
  </si>
  <si>
    <t>VCB Đắk Lắk - Mr. Trung - 09762436364</t>
  </si>
  <si>
    <t>Sacombank Krông Pắc - Mr. Trung - 0935759570</t>
  </si>
  <si>
    <t>VCB Đắk Lắk PGD Tất Thành - Ms. Tuyết - 0906452860</t>
  </si>
  <si>
    <t>VCB Đắk Lăk - PGD Quang Trung - Mr. Tâm - 0902428219</t>
  </si>
  <si>
    <t>VCB Đắk Lắk - Mr Khải - 0899368383</t>
  </si>
  <si>
    <t>VCB Đắk Lắk - Mrs. Thủy - 0912284241</t>
  </si>
  <si>
    <t>VCB Đắk Lắk PGD Ea Kar - Mr. Thành - 0989251043</t>
  </si>
  <si>
    <t>VCB Đắk Lắk - Mrs. Quỳnh - 0914329877</t>
  </si>
  <si>
    <t>MB AMC ARR - Mr. Long - 0905226968</t>
  </si>
  <si>
    <t>Đức VCB Bắc Đắk Lắk - 0913033534</t>
  </si>
  <si>
    <t>VCB Đắk Lắk - Ms. Dung - 0899380079</t>
  </si>
  <si>
    <t>MB Hội An - Ms. Long - 0935543536</t>
  </si>
  <si>
    <t>MB AMC Miền Trung - Mr. Chánh - 0703152789</t>
  </si>
  <si>
    <t>VCB Bắc Đắk Lắk - Mrs. Trâm - 0832055054</t>
  </si>
  <si>
    <t>VCB Đắk Lắk - Mr. Quý - 0346840077</t>
  </si>
  <si>
    <t>Seabank Đắk Lắk - Mr. Thi - 0905398488</t>
  </si>
  <si>
    <t>VCB Bắc Đắk Lắk - Mr. Phát - 0763652728</t>
  </si>
  <si>
    <t>VCB Bắc Đắk Lắk - Mr. Hải - 0914718666</t>
  </si>
  <si>
    <t>VCB Bắc Hà Tĩnh - Mr. Nam - 0987732525</t>
  </si>
  <si>
    <t>VCB Đắk Lắk - Mr. Linh - 0935671038</t>
  </si>
  <si>
    <t>VCB Đắk Lắk - Thảo Nguyên - 0563086737</t>
  </si>
  <si>
    <t>VCB Đắk Lắk - Mr. Nghĩa - 0967096789</t>
  </si>
  <si>
    <t>Sacombank Krông Pắc - Mr. Trung - 0935758570</t>
  </si>
  <si>
    <t>VCB Đắk Lăk - PGD Quang Trung - Mr. Tâm - 0902428119</t>
  </si>
  <si>
    <t>BIDV Đắk Lắk - Anh Hải - 0902755000</t>
  </si>
  <si>
    <t>VCB Đắk Lắk - Mrs. Thủy - 0912284141</t>
  </si>
  <si>
    <t>VP Bank - Gia Lai - Chị Ngọc - 0972638579</t>
  </si>
  <si>
    <t>VCB Đắk Lắk - Mrs. Quỳnh - 0914329777</t>
  </si>
  <si>
    <t>BIDV Buôn Hồ - Anh Khoa 0901605555</t>
  </si>
  <si>
    <t>Đức VCB Bắc Đắk Lắk - 0913033533</t>
  </si>
  <si>
    <t>VCB Đắk Lắk - Mr. Đạt - 0935732323</t>
  </si>
  <si>
    <t>MB Hội An - Ms. Long - 0935543538</t>
  </si>
  <si>
    <t>Sacombank Đắk Lắk - Mr. Định - 0799031531</t>
  </si>
  <si>
    <t>VCB Bắc Đắk Lắk - Mrs. Trâm - 0832055055</t>
  </si>
  <si>
    <t>MB Hội An - Ms. Quỳnh - 0768002604</t>
  </si>
  <si>
    <t>Seabank Đắk Lắk - Mr. Thi - 0905398388</t>
  </si>
  <si>
    <t>VCB Đắk Lắk - Ms. Xuân - 0367475375</t>
  </si>
  <si>
    <t>VCB Bắc Đắk Lắk - Mr. Hải - 0914708666</t>
  </si>
  <si>
    <t>VCB Đắk Lắk - Mr. Tùng - 0905361487</t>
  </si>
  <si>
    <t>VCB Đắk Lắk - Mr. Linh - 0935671008</t>
  </si>
  <si>
    <t>MB AMC - Mr. Tấn - 0905802689</t>
  </si>
  <si>
    <t>VCB Đắk Lắk - Mr. Nghĩa - 0967096089</t>
  </si>
  <si>
    <t>Vietinbank Gia Lai - Ms. Huyền - 0942670909</t>
  </si>
  <si>
    <t>BIDV Quy Nhơn - Mr. Hiếu - 0932404099</t>
  </si>
  <si>
    <t>BIDV Đắk Lắk - Anh Hải - 0902755005</t>
  </si>
  <si>
    <t>BIDV Đông Đắk Lăk - Mr. Sơn - 0964694747</t>
  </si>
  <si>
    <t>VP Bank - Gia Lai - Chị Ngọc - 0972638179</t>
  </si>
  <si>
    <t>BIDV Phố Núi - Chị Kim Anh - 0973200002</t>
  </si>
  <si>
    <t>BIDV Buôn Hồ - Anh Khoa 0901600555</t>
  </si>
  <si>
    <t>Sacombank Kon Tum - Mr. Luân - 0967097789</t>
  </si>
  <si>
    <t>VCB Đắk Lắk - Mr. Đạt - 0935712323</t>
  </si>
  <si>
    <t>VCB Nam Đà Nẵng - Mr. Điệp - 0935329246</t>
  </si>
  <si>
    <t>Sacombank Đắk Lắk - Mr. Định - 0799031031</t>
  </si>
  <si>
    <t>MB Hội An - Ms. Quỳnh - 0768002606</t>
  </si>
  <si>
    <t>VCB Đắk Lắk - Ms. Xuân - 0367475355</t>
  </si>
  <si>
    <t>VCB Đắk Lắk - Mr. Tùng - 0905361407</t>
  </si>
  <si>
    <t>BIDV Phố Núi - Chị Thúy - 0967096089</t>
  </si>
  <si>
    <t xml:space="preserve"> </t>
  </si>
  <si>
    <t>Địa chỉ khách hàng</t>
  </si>
  <si>
    <t>Số căn cước công dân</t>
  </si>
  <si>
    <t>064193002684</t>
  </si>
  <si>
    <t>Ghi chú cá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</si>
</sst>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(* #,##0.00000_);_(* \(#,##0.00000\);_(* &quot;-&quot;??_);_(@_)"/>
  </numFmts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  <scheme val="major"/>
    </font>
    <font>
      <b/>
      <i/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1"/>
      <color rgb="FF000000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3" borderId="2" xfId="0" applyFont="1" applyFill="1" applyBorder="1" applyAlignment="1">
      <alignment vertical="center" wrapText="1"/>
    </xf>
    <xf numFmtId="0" fontId="0" fillId="3" borderId="0" xfId="0" applyFill="1"/>
    <xf numFmtId="0" fontId="0" fillId="0" borderId="0" xfId="0" applyAlignment="1">
      <alignment horizontal="left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4" fontId="0" fillId="3" borderId="0" xfId="1" applyNumberFormat="1" applyFont="1" applyFill="1"/>
    <xf numFmtId="0" fontId="8" fillId="3" borderId="1" xfId="0" applyFont="1" applyFill="1" applyBorder="1" applyAlignment="1">
      <alignment vertical="center" wrapText="1"/>
    </xf>
    <xf numFmtId="1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0" fontId="5" fillId="3" borderId="3" xfId="0" applyFont="1" applyFill="1" applyBorder="1" applyAlignment="1">
      <alignment horizontal="left" vertical="center" wrapText="1"/>
    </xf>
    <xf numFmtId="0" fontId="0" fillId="0" borderId="1" xfId="0" applyBorder="1"/>
    <xf numFmtId="164" fontId="0" fillId="0" borderId="0" xfId="1" applyNumberFormat="1" applyFont="1" applyAlignment="1">
      <alignment vertical="center"/>
    </xf>
    <xf numFmtId="164" fontId="0" fillId="0" borderId="0" xfId="1" applyNumberFormat="1" applyFont="1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vertical="center"/>
    </xf>
    <xf numFmtId="49" fontId="6" fillId="3" borderId="1" xfId="0" applyNumberFormat="1" applyFont="1" applyFill="1" applyBorder="1" applyAlignment="1">
      <alignment vertical="top" wrapText="1"/>
    </xf>
    <xf numFmtId="0" fontId="0" fillId="0" borderId="0" xfId="0" applyAlignment="1">
      <alignment vertical="center"/>
    </xf>
    <xf numFmtId="49" fontId="0" fillId="0" borderId="0" xfId="0" applyNumberFormat="1"/>
    <xf numFmtId="165" fontId="0" fillId="0" borderId="0" xfId="0" applyNumberFormat="1" applyAlignment="1">
      <alignment vertical="center"/>
    </xf>
    <xf numFmtId="3" fontId="0" fillId="0" borderId="0" xfId="0" applyNumberFormat="1"/>
    <xf numFmtId="165" fontId="0" fillId="0" borderId="0" xfId="1" applyNumberFormat="1" applyFont="1" applyBorder="1"/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3" fontId="11" fillId="0" borderId="0" xfId="0" applyNumberFormat="1" applyFont="1"/>
    <xf numFmtId="164" fontId="0" fillId="0" borderId="0" xfId="0" applyNumberFormat="1"/>
    <xf numFmtId="165" fontId="0" fillId="0" borderId="0" xfId="1" applyNumberFormat="1" applyFont="1" applyAlignment="1">
      <alignment vertical="top" wrapText="1"/>
    </xf>
    <xf numFmtId="0" fontId="12" fillId="6" borderId="5" xfId="0" applyFont="1" applyFill="1" applyBorder="1" applyAlignment="1">
      <alignment horizontal="right" vertical="center" wrapText="1"/>
    </xf>
    <xf numFmtId="3" fontId="12" fillId="6" borderId="6" xfId="0" applyNumberFormat="1" applyFont="1" applyFill="1" applyBorder="1" applyAlignment="1">
      <alignment horizontal="right" vertical="center" wrapText="1"/>
    </xf>
    <xf numFmtId="0" fontId="12" fillId="6" borderId="7" xfId="0" applyFont="1" applyFill="1" applyBorder="1" applyAlignment="1">
      <alignment horizontal="right" vertical="center" wrapText="1"/>
    </xf>
    <xf numFmtId="3" fontId="12" fillId="6" borderId="8" xfId="0" applyNumberFormat="1" applyFont="1" applyFill="1" applyBorder="1" applyAlignment="1">
      <alignment horizontal="right" vertical="center" wrapText="1"/>
    </xf>
    <xf numFmtId="41" fontId="0" fillId="0" borderId="0" xfId="2" applyFont="1"/>
    <xf numFmtId="9" fontId="0" fillId="0" borderId="0" xfId="0" applyNumberFormat="1"/>
    <xf numFmtId="41" fontId="0" fillId="0" borderId="1" xfId="2" applyFont="1" applyBorder="1" applyAlignment="1">
      <alignment vertical="top"/>
    </xf>
    <xf numFmtId="41" fontId="0" fillId="0" borderId="0" xfId="2" applyFont="1" applyBorder="1"/>
    <xf numFmtId="41" fontId="2" fillId="0" borderId="0" xfId="2" applyFont="1" applyBorder="1"/>
    <xf numFmtId="0" fontId="0" fillId="0" borderId="0" xfId="0" applyAlignment="1">
      <alignment vertical="top"/>
    </xf>
    <xf numFmtId="43" fontId="0" fillId="0" borderId="0" xfId="1" applyFont="1"/>
    <xf numFmtId="0" fontId="0" fillId="0" borderId="0" xfId="0" applyAlignment="1">
      <alignment horizontal="center" vertical="top"/>
    </xf>
    <xf numFmtId="165" fontId="0" fillId="0" borderId="0" xfId="1" applyNumberFormat="1" applyFont="1" applyBorder="1" applyAlignment="1">
      <alignment horizontal="center"/>
    </xf>
    <xf numFmtId="41" fontId="0" fillId="0" borderId="0" xfId="2" applyFont="1" applyAlignment="1">
      <alignment vertical="center"/>
    </xf>
    <xf numFmtId="41" fontId="0" fillId="0" borderId="0" xfId="0" applyNumberFormat="1" applyAlignment="1">
      <alignment vertical="center"/>
    </xf>
    <xf numFmtId="41" fontId="0" fillId="0" borderId="0" xfId="2" applyFont="1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0" applyNumberFormat="1" applyAlignment="1">
      <alignment vertical="top"/>
    </xf>
    <xf numFmtId="164" fontId="2" fillId="0" borderId="0" xfId="1" applyNumberFormat="1" applyFont="1"/>
    <xf numFmtId="3" fontId="13" fillId="0" borderId="0" xfId="0" applyNumberFormat="1" applyFont="1"/>
    <xf numFmtId="3" fontId="3" fillId="3" borderId="4" xfId="1" applyNumberFormat="1" applyFont="1" applyFill="1" applyBorder="1" applyAlignment="1">
      <alignment horizontal="left" vertical="center" wrapText="1"/>
    </xf>
    <xf numFmtId="165" fontId="0" fillId="0" borderId="0" xfId="0" applyNumberFormat="1" applyAlignment="1">
      <alignment vertical="top"/>
    </xf>
    <xf numFmtId="165" fontId="0" fillId="0" borderId="0" xfId="1" applyNumberFormat="1" applyFont="1" applyAlignment="1">
      <alignment horizontal="center" vertical="center"/>
    </xf>
    <xf numFmtId="41" fontId="0" fillId="0" borderId="0" xfId="0" applyNumberFormat="1"/>
    <xf numFmtId="3" fontId="0" fillId="0" borderId="0" xfId="1" applyNumberFormat="1" applyFont="1"/>
    <xf numFmtId="164" fontId="0" fillId="0" borderId="0" xfId="1" applyNumberFormat="1" applyFont="1" applyAlignment="1"/>
    <xf numFmtId="3" fontId="0" fillId="0" borderId="0" xfId="1" applyNumberFormat="1" applyFont="1" applyAlignment="1">
      <alignment vertical="center"/>
    </xf>
    <xf numFmtId="3" fontId="14" fillId="0" borderId="0" xfId="0" applyNumberFormat="1" applyFont="1"/>
    <xf numFmtId="165" fontId="0" fillId="0" borderId="0" xfId="1" applyNumberFormat="1" applyFont="1" applyAlignment="1">
      <alignment vertical="top"/>
    </xf>
    <xf numFmtId="3" fontId="0" fillId="0" borderId="0" xfId="0" applyNumberFormat="1" applyAlignment="1">
      <alignment vertical="top"/>
    </xf>
    <xf numFmtId="0" fontId="0" fillId="3" borderId="0" xfId="0" quotePrefix="1" applyFill="1"/>
    <xf numFmtId="9" fontId="0" fillId="0" borderId="4" xfId="0" applyNumberFormat="1" applyBorder="1" applyAlignment="1">
      <alignment horizontal="left"/>
    </xf>
    <xf numFmtId="0" fontId="10" fillId="5" borderId="4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 wrapText="1"/>
    </xf>
    <xf numFmtId="0" fontId="5" fillId="3" borderId="13" xfId="0" quotePrefix="1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center" vertical="center" wrapText="1"/>
    </xf>
    <xf numFmtId="3" fontId="3" fillId="3" borderId="13" xfId="1" applyNumberFormat="1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 wrapText="1"/>
    </xf>
    <xf numFmtId="3" fontId="9" fillId="3" borderId="13" xfId="1" applyNumberFormat="1" applyFont="1" applyFill="1" applyBorder="1" applyAlignment="1">
      <alignment horizontal="left" vertical="center" wrapText="1"/>
    </xf>
    <xf numFmtId="3" fontId="5" fillId="3" borderId="13" xfId="1" applyNumberFormat="1" applyFont="1" applyFill="1" applyBorder="1" applyAlignment="1">
      <alignment horizontal="left" vertical="center" wrapText="1"/>
    </xf>
    <xf numFmtId="0" fontId="5" fillId="3" borderId="15" xfId="0" applyFont="1" applyFill="1" applyBorder="1"/>
    <xf numFmtId="0" fontId="5" fillId="3" borderId="14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/>
    </xf>
    <xf numFmtId="0" fontId="0" fillId="0" borderId="13" xfId="0" applyBorder="1"/>
    <xf numFmtId="0" fontId="0" fillId="0" borderId="13" xfId="0" quotePrefix="1" applyBorder="1"/>
    <xf numFmtId="0" fontId="2" fillId="0" borderId="16" xfId="0" applyFont="1" applyBorder="1" applyAlignment="1">
      <alignment horizontal="center"/>
    </xf>
    <xf numFmtId="0" fontId="0" fillId="0" borderId="17" xfId="0" applyBorder="1"/>
    <xf numFmtId="0" fontId="0" fillId="3" borderId="18" xfId="0" applyFill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540</xdr:row>
      <xdr:rowOff>0</xdr:rowOff>
    </xdr:from>
    <xdr:to>
      <xdr:col>7</xdr:col>
      <xdr:colOff>304800</xdr:colOff>
      <xdr:row>541</xdr:row>
      <xdr:rowOff>123825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CD931E1E-C3D2-4D60-A880-C4EB475B0806}"/>
            </a:ext>
          </a:extLst>
        </xdr:cNvPr>
        <xdr:cNvSpPr>
          <a:spLocks noChangeAspect="1" noChangeArrowheads="1"/>
        </xdr:cNvSpPr>
      </xdr:nvSpPr>
      <xdr:spPr bwMode="auto">
        <a:xfrm>
          <a:off x="26031825" y="1180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304800</xdr:colOff>
      <xdr:row>24</xdr:row>
      <xdr:rowOff>111613</xdr:rowOff>
    </xdr:to>
    <xdr:sp macro="" textlink="">
      <xdr:nvSpPr>
        <xdr:cNvPr id="3" name="AutoShape 10">
          <a:extLst>
            <a:ext uri="{FF2B5EF4-FFF2-40B4-BE49-F238E27FC236}">
              <a16:creationId xmlns:a16="http://schemas.microsoft.com/office/drawing/2014/main" id="{4B8AAC71-6553-4172-BD42-3C858967F047}"/>
            </a:ext>
          </a:extLst>
        </xdr:cNvPr>
        <xdr:cNvSpPr>
          <a:spLocks noChangeAspect="1" noChangeArrowheads="1"/>
        </xdr:cNvSpPr>
      </xdr:nvSpPr>
      <xdr:spPr bwMode="auto">
        <a:xfrm>
          <a:off x="12449175" y="173812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447675</xdr:colOff>
      <xdr:row>50</xdr:row>
      <xdr:rowOff>28575</xdr:rowOff>
    </xdr:from>
    <xdr:to>
      <xdr:col>15</xdr:col>
      <xdr:colOff>2220181</xdr:colOff>
      <xdr:row>54</xdr:row>
      <xdr:rowOff>152400</xdr:rowOff>
    </xdr:to>
    <xdr:pic>
      <xdr:nvPicPr>
        <xdr:cNvPr id="4" name="Hình ảnh 1">
          <a:extLst>
            <a:ext uri="{FF2B5EF4-FFF2-40B4-BE49-F238E27FC236}">
              <a16:creationId xmlns:a16="http://schemas.microsoft.com/office/drawing/2014/main" id="{B198088A-B6F7-444E-8B8E-FD3BFFD88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57100" y="10734675"/>
          <a:ext cx="6134956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F16A-9B32-499D-A0BE-86EB79410037}">
  <sheetPr codeName="Trang_tính2"/>
  <dimension ref="A1:Q1380"/>
  <sheetViews>
    <sheetView tabSelected="1" topLeftCell="B1" zoomScaleNormal="100" workbookViewId="0">
      <selection activeCell="E32" sqref="E32"/>
    </sheetView>
  </sheetViews>
  <sheetFormatPr defaultRowHeight="14.25" outlineLevelRow="1" x14ac:dyDescent="0.2"/>
  <cols>
    <col min="1" max="1" width="3.125" style="1" customWidth="1"/>
    <col min="2" max="2" width="7.375" customWidth="1"/>
    <col min="3" max="3" width="31.875" customWidth="1"/>
    <col min="4" max="4" width="121" customWidth="1"/>
    <col min="5" max="5" width="60.375" customWidth="1"/>
    <col min="6" max="6" width="32.625" customWidth="1"/>
    <col min="7" max="7" width="85.25" style="19" customWidth="1"/>
    <col min="8" max="8" width="48.625" style="53" customWidth="1"/>
    <col min="9" max="9" width="32.875" customWidth="1"/>
    <col min="10" max="10" width="14.75" customWidth="1"/>
    <col min="11" max="11" width="51.75" customWidth="1"/>
    <col min="12" max="12" width="6" customWidth="1"/>
    <col min="13" max="13" width="19.875" customWidth="1"/>
    <col min="14" max="14" width="15.125" customWidth="1"/>
    <col min="15" max="15" width="16.25" bestFit="1" customWidth="1"/>
    <col min="16" max="16" width="57.25" customWidth="1"/>
    <col min="17" max="17" width="16.625" customWidth="1"/>
    <col min="30" max="30" width="16.25" bestFit="1" customWidth="1"/>
    <col min="31" max="31" width="13.375" customWidth="1"/>
  </cols>
  <sheetData>
    <row r="1" spans="1:13" ht="15" customHeight="1" thickBot="1" x14ac:dyDescent="0.3">
      <c r="B1" s="77" t="s">
        <v>0</v>
      </c>
      <c r="C1" s="78"/>
      <c r="D1" s="79"/>
      <c r="F1" s="1"/>
      <c r="G1" s="2" t="s">
        <v>1</v>
      </c>
      <c r="H1" s="3" t="s">
        <v>2</v>
      </c>
      <c r="I1" s="2" t="s">
        <v>3</v>
      </c>
      <c r="J1" s="2" t="s">
        <v>4</v>
      </c>
    </row>
    <row r="2" spans="1:13" ht="19.5" customHeight="1" thickTop="1" x14ac:dyDescent="0.2">
      <c r="A2" s="1">
        <v>1</v>
      </c>
      <c r="B2" s="80">
        <v>1</v>
      </c>
      <c r="C2" s="4" t="s">
        <v>5</v>
      </c>
      <c r="D2" s="81" t="s">
        <v>6</v>
      </c>
      <c r="E2" s="5"/>
      <c r="F2" s="6"/>
      <c r="G2" s="7" t="s">
        <v>8</v>
      </c>
      <c r="H2" s="8" t="s">
        <v>9</v>
      </c>
      <c r="I2" s="9" t="s">
        <v>10</v>
      </c>
      <c r="J2" s="10" t="s">
        <v>11</v>
      </c>
      <c r="K2" s="8" t="s">
        <v>12</v>
      </c>
      <c r="M2" t="s">
        <v>13</v>
      </c>
    </row>
    <row r="3" spans="1:13" ht="18.75" customHeight="1" x14ac:dyDescent="0.2">
      <c r="B3" s="80">
        <v>2</v>
      </c>
      <c r="C3" s="11" t="s">
        <v>14</v>
      </c>
      <c r="D3" s="82"/>
      <c r="G3" s="7" t="s">
        <v>16</v>
      </c>
      <c r="H3" s="8" t="s">
        <v>17</v>
      </c>
      <c r="I3" s="10" t="s">
        <v>18</v>
      </c>
      <c r="J3" s="10" t="s">
        <v>19</v>
      </c>
      <c r="K3" s="8" t="s">
        <v>20</v>
      </c>
      <c r="M3" t="s">
        <v>21</v>
      </c>
    </row>
    <row r="4" spans="1:13" ht="19.5" customHeight="1" outlineLevel="1" x14ac:dyDescent="0.2">
      <c r="B4" s="83"/>
      <c r="C4" s="13" t="s">
        <v>22</v>
      </c>
      <c r="D4" s="84" t="s">
        <v>23</v>
      </c>
      <c r="E4" s="74"/>
      <c r="G4" s="7" t="s">
        <v>24</v>
      </c>
      <c r="H4" s="8" t="s">
        <v>25</v>
      </c>
      <c r="I4" s="10" t="s">
        <v>26</v>
      </c>
      <c r="J4" s="10" t="s">
        <v>27</v>
      </c>
      <c r="K4" s="8" t="s">
        <v>28</v>
      </c>
    </row>
    <row r="5" spans="1:13" ht="15.75" customHeight="1" outlineLevel="1" x14ac:dyDescent="0.2">
      <c r="B5" s="83"/>
      <c r="C5" s="13" t="s">
        <v>29</v>
      </c>
      <c r="D5" s="85" t="s">
        <v>30</v>
      </c>
      <c r="E5" s="5"/>
      <c r="G5" s="13" t="s">
        <v>31</v>
      </c>
      <c r="H5" s="14" t="s">
        <v>32</v>
      </c>
      <c r="I5" s="10" t="s">
        <v>33</v>
      </c>
      <c r="J5" s="10"/>
      <c r="K5" s="14" t="s">
        <v>34</v>
      </c>
    </row>
    <row r="6" spans="1:13" ht="18.75" customHeight="1" outlineLevel="1" x14ac:dyDescent="0.2">
      <c r="B6" s="83"/>
      <c r="C6" s="13" t="s">
        <v>35</v>
      </c>
      <c r="D6" s="84" t="s">
        <v>13</v>
      </c>
      <c r="E6" s="5"/>
      <c r="G6" s="13" t="s">
        <v>36</v>
      </c>
      <c r="H6" s="8" t="s">
        <v>37</v>
      </c>
      <c r="I6" s="10" t="s">
        <v>38</v>
      </c>
      <c r="J6" s="10"/>
      <c r="K6" s="8" t="s">
        <v>39</v>
      </c>
    </row>
    <row r="7" spans="1:13" ht="20.25" customHeight="1" outlineLevel="1" x14ac:dyDescent="0.2">
      <c r="B7" s="83"/>
      <c r="C7" s="13" t="s">
        <v>40</v>
      </c>
      <c r="D7" s="86"/>
      <c r="E7" s="5"/>
      <c r="G7" s="13" t="s">
        <v>41</v>
      </c>
      <c r="H7" s="14" t="s">
        <v>42</v>
      </c>
      <c r="I7" s="10" t="s">
        <v>23</v>
      </c>
      <c r="J7" s="10"/>
      <c r="K7" s="14" t="s">
        <v>43</v>
      </c>
    </row>
    <row r="8" spans="1:13" ht="15" customHeight="1" outlineLevel="1" x14ac:dyDescent="0.2">
      <c r="B8" s="80">
        <v>3</v>
      </c>
      <c r="C8" s="11" t="s">
        <v>44</v>
      </c>
      <c r="D8" s="87"/>
      <c r="E8" s="5"/>
      <c r="G8" s="13" t="s">
        <v>45</v>
      </c>
      <c r="H8" s="14" t="s">
        <v>46</v>
      </c>
      <c r="I8" s="10" t="s">
        <v>47</v>
      </c>
      <c r="J8" s="15"/>
      <c r="K8" s="14" t="s">
        <v>48</v>
      </c>
    </row>
    <row r="9" spans="1:13" ht="15" outlineLevel="1" x14ac:dyDescent="0.2">
      <c r="B9" s="83"/>
      <c r="C9" s="13" t="s">
        <v>49</v>
      </c>
      <c r="D9" s="86" t="s">
        <v>31</v>
      </c>
      <c r="E9" s="12"/>
      <c r="G9" s="13" t="s">
        <v>50</v>
      </c>
      <c r="H9" s="14" t="s">
        <v>51</v>
      </c>
      <c r="I9" s="10" t="s">
        <v>52</v>
      </c>
      <c r="J9" s="15"/>
      <c r="K9" s="14" t="s">
        <v>53</v>
      </c>
    </row>
    <row r="10" spans="1:13" ht="16.5" customHeight="1" outlineLevel="1" x14ac:dyDescent="0.2">
      <c r="B10" s="83"/>
      <c r="C10" s="13" t="s">
        <v>54</v>
      </c>
      <c r="D10" s="86" t="s">
        <v>55</v>
      </c>
      <c r="E10" s="5"/>
      <c r="G10" s="13" t="s">
        <v>56</v>
      </c>
      <c r="H10" s="14" t="s">
        <v>57</v>
      </c>
      <c r="I10" s="10" t="s">
        <v>58</v>
      </c>
      <c r="J10" s="15"/>
      <c r="K10" s="14" t="s">
        <v>59</v>
      </c>
    </row>
    <row r="11" spans="1:13" ht="18" customHeight="1" outlineLevel="1" x14ac:dyDescent="0.2">
      <c r="B11" s="83"/>
      <c r="C11" s="13" t="s">
        <v>60</v>
      </c>
      <c r="D11" s="84" t="s">
        <v>61</v>
      </c>
      <c r="E11" s="5"/>
      <c r="G11" s="7" t="s">
        <v>62</v>
      </c>
      <c r="H11" s="14" t="s">
        <v>63</v>
      </c>
      <c r="I11" s="10" t="s">
        <v>64</v>
      </c>
      <c r="J11" s="15"/>
      <c r="K11" s="14" t="s">
        <v>65</v>
      </c>
    </row>
    <row r="12" spans="1:13" ht="15" customHeight="1" outlineLevel="1" x14ac:dyDescent="0.2">
      <c r="B12" s="88">
        <v>4</v>
      </c>
      <c r="C12" s="11" t="s">
        <v>66</v>
      </c>
      <c r="D12" s="87"/>
      <c r="E12" s="16"/>
      <c r="G12" s="7" t="s">
        <v>67</v>
      </c>
      <c r="H12" s="14" t="s">
        <v>68</v>
      </c>
      <c r="I12" s="10" t="s">
        <v>69</v>
      </c>
      <c r="J12" s="15"/>
      <c r="K12" s="14" t="s">
        <v>68</v>
      </c>
    </row>
    <row r="13" spans="1:13" ht="18" customHeight="1" outlineLevel="1" x14ac:dyDescent="0.2">
      <c r="B13" s="83"/>
      <c r="C13" s="13" t="s">
        <v>70</v>
      </c>
      <c r="D13" s="89" t="str">
        <f>CONCATENATE(E14," Đã bao gồm VAT")</f>
        <v>2.200.000 Đã bao gồm VAT</v>
      </c>
      <c r="E13" s="64">
        <v>2000000</v>
      </c>
      <c r="G13" s="7" t="s">
        <v>71</v>
      </c>
      <c r="H13" s="14" t="s">
        <v>72</v>
      </c>
      <c r="I13" s="10" t="s">
        <v>73</v>
      </c>
      <c r="J13" s="15"/>
      <c r="K13" s="14" t="s">
        <v>74</v>
      </c>
    </row>
    <row r="14" spans="1:13" ht="15" outlineLevel="1" x14ac:dyDescent="0.2">
      <c r="B14" s="90"/>
      <c r="C14" s="17" t="s">
        <v>75</v>
      </c>
      <c r="D14" s="91" t="str">
        <f>CONCATENATE("[",D2,"] -",LEFT(D10,LEN(D10)-12),"- ",D5)</f>
        <v>[010/2026/N04-1000/DN] -NHCS An Khê - Ms Như - Thửa đất số 43 tờ bản đồ số 12; tại địa chỉ tổ 2, An Tân, phường An Khê, tỉnh Gia Lai.</v>
      </c>
      <c r="E14" s="64" t="str">
        <f>TEXT(E13*1.1,"000.000")</f>
        <v>2.200.000</v>
      </c>
      <c r="F14" s="18"/>
      <c r="G14" s="7" t="s">
        <v>76</v>
      </c>
      <c r="H14" s="14" t="s">
        <v>77</v>
      </c>
      <c r="I14" s="10" t="s">
        <v>78</v>
      </c>
      <c r="K14" s="14" t="s">
        <v>77</v>
      </c>
    </row>
    <row r="15" spans="1:13" ht="15" customHeight="1" outlineLevel="1" x14ac:dyDescent="0.2">
      <c r="B15" s="83"/>
      <c r="C15" s="13" t="s">
        <v>79</v>
      </c>
      <c r="D15" s="92">
        <v>0</v>
      </c>
      <c r="E15" s="75">
        <v>0.15</v>
      </c>
      <c r="F15" s="19"/>
      <c r="H15" s="8" t="s">
        <v>80</v>
      </c>
      <c r="K15" s="8" t="s">
        <v>81</v>
      </c>
    </row>
    <row r="16" spans="1:13" ht="15" outlineLevel="1" x14ac:dyDescent="0.2">
      <c r="B16" s="83"/>
      <c r="C16" s="13" t="s">
        <v>82</v>
      </c>
      <c r="D16" s="92">
        <v>0</v>
      </c>
      <c r="E16" s="64">
        <f>E15*E13</f>
        <v>300000</v>
      </c>
      <c r="F16" s="20"/>
      <c r="H16" s="8" t="s">
        <v>83</v>
      </c>
      <c r="K16" s="8" t="s">
        <v>83</v>
      </c>
    </row>
    <row r="17" spans="1:11" ht="18" customHeight="1" outlineLevel="1" x14ac:dyDescent="0.2">
      <c r="B17" s="88">
        <v>5</v>
      </c>
      <c r="C17" s="11" t="s">
        <v>84</v>
      </c>
      <c r="D17" s="87"/>
      <c r="E17" s="76" t="s">
        <v>27</v>
      </c>
      <c r="F17" s="18"/>
      <c r="H17" s="8" t="s">
        <v>85</v>
      </c>
      <c r="K17" s="8" t="s">
        <v>86</v>
      </c>
    </row>
    <row r="18" spans="1:11" ht="15" customHeight="1" outlineLevel="1" x14ac:dyDescent="0.2">
      <c r="B18" s="83"/>
      <c r="C18" s="13" t="s">
        <v>87</v>
      </c>
      <c r="D18" s="86" t="s">
        <v>27</v>
      </c>
      <c r="E18" s="5"/>
      <c r="F18" s="18"/>
      <c r="H18" s="8" t="s">
        <v>88</v>
      </c>
      <c r="K18" s="8" t="s">
        <v>89</v>
      </c>
    </row>
    <row r="19" spans="1:11" ht="15" customHeight="1" outlineLevel="1" x14ac:dyDescent="0.2">
      <c r="B19" s="83"/>
      <c r="C19" s="13" t="s">
        <v>90</v>
      </c>
      <c r="D19" s="86"/>
      <c r="E19" s="5"/>
      <c r="F19" s="18"/>
      <c r="H19" s="14" t="s">
        <v>91</v>
      </c>
      <c r="K19" s="14" t="s">
        <v>92</v>
      </c>
    </row>
    <row r="20" spans="1:11" ht="15" outlineLevel="1" x14ac:dyDescent="0.2">
      <c r="B20" s="83"/>
      <c r="C20" s="13" t="s">
        <v>93</v>
      </c>
      <c r="D20" s="86"/>
      <c r="E20" s="5"/>
      <c r="F20" s="18"/>
      <c r="H20" s="14" t="s">
        <v>94</v>
      </c>
      <c r="K20" s="14" t="s">
        <v>95</v>
      </c>
    </row>
    <row r="21" spans="1:11" ht="15" customHeight="1" outlineLevel="1" x14ac:dyDescent="0.2">
      <c r="B21" s="88">
        <v>6</v>
      </c>
      <c r="C21" s="11" t="s">
        <v>96</v>
      </c>
      <c r="D21" s="82"/>
      <c r="E21" s="5"/>
      <c r="F21" s="18"/>
      <c r="H21" s="8" t="s">
        <v>97</v>
      </c>
      <c r="K21" s="8" t="s">
        <v>98</v>
      </c>
    </row>
    <row r="22" spans="1:11" ht="15" customHeight="1" outlineLevel="1" x14ac:dyDescent="0.25">
      <c r="B22" s="93"/>
      <c r="C22" s="21" t="s">
        <v>99</v>
      </c>
      <c r="D22" s="94"/>
      <c r="E22" s="5"/>
      <c r="F22" s="18"/>
      <c r="H22" s="8" t="s">
        <v>55</v>
      </c>
      <c r="K22" s="8" t="s">
        <v>100</v>
      </c>
    </row>
    <row r="23" spans="1:11" ht="15" customHeight="1" outlineLevel="1" x14ac:dyDescent="0.25">
      <c r="B23" s="95">
        <v>7</v>
      </c>
      <c r="C23" s="22" t="s">
        <v>413</v>
      </c>
      <c r="D23" s="96" t="s">
        <v>7</v>
      </c>
      <c r="F23" s="18"/>
      <c r="H23" s="8" t="s">
        <v>101</v>
      </c>
      <c r="K23" s="8" t="s">
        <v>102</v>
      </c>
    </row>
    <row r="24" spans="1:11" ht="15" customHeight="1" x14ac:dyDescent="0.25">
      <c r="B24" s="95">
        <v>8</v>
      </c>
      <c r="C24" s="22" t="s">
        <v>414</v>
      </c>
      <c r="D24" s="97" t="s">
        <v>415</v>
      </c>
      <c r="H24" s="8" t="s">
        <v>103</v>
      </c>
      <c r="K24" s="8" t="s">
        <v>104</v>
      </c>
    </row>
    <row r="25" spans="1:11" ht="16.5" customHeight="1" thickBot="1" x14ac:dyDescent="0.3">
      <c r="B25" s="98">
        <v>9</v>
      </c>
      <c r="C25" s="99" t="s">
        <v>416</v>
      </c>
      <c r="D25" s="100" t="s">
        <v>15</v>
      </c>
      <c r="H25" s="8" t="s">
        <v>105</v>
      </c>
      <c r="K25" s="8" t="s">
        <v>106</v>
      </c>
    </row>
    <row r="26" spans="1:11" ht="19.5" customHeight="1" outlineLevel="1" x14ac:dyDescent="0.2">
      <c r="H26" s="8" t="s">
        <v>107</v>
      </c>
      <c r="K26" s="8" t="s">
        <v>108</v>
      </c>
    </row>
    <row r="27" spans="1:11" ht="15" customHeight="1" outlineLevel="1" x14ac:dyDescent="0.2">
      <c r="H27" s="8" t="s">
        <v>109</v>
      </c>
      <c r="K27" s="8" t="s">
        <v>110</v>
      </c>
    </row>
    <row r="28" spans="1:11" ht="19.5" customHeight="1" outlineLevel="1" x14ac:dyDescent="0.2">
      <c r="H28" s="8" t="s">
        <v>111</v>
      </c>
      <c r="K28" s="8" t="s">
        <v>112</v>
      </c>
    </row>
    <row r="29" spans="1:11" ht="15" customHeight="1" outlineLevel="1" x14ac:dyDescent="0.2">
      <c r="H29" s="8" t="s">
        <v>113</v>
      </c>
      <c r="K29" s="8" t="s">
        <v>114</v>
      </c>
    </row>
    <row r="30" spans="1:11" ht="15" customHeight="1" outlineLevel="1" x14ac:dyDescent="0.2">
      <c r="H30" s="8" t="s">
        <v>115</v>
      </c>
      <c r="K30" s="8" t="s">
        <v>116</v>
      </c>
    </row>
    <row r="31" spans="1:11" ht="19.5" customHeight="1" outlineLevel="1" x14ac:dyDescent="0.2">
      <c r="H31" s="8" t="s">
        <v>117</v>
      </c>
      <c r="K31" s="8" t="s">
        <v>118</v>
      </c>
    </row>
    <row r="32" spans="1:11" s="28" customFormat="1" ht="18" customHeight="1" outlineLevel="1" x14ac:dyDescent="0.2">
      <c r="A32" s="25"/>
      <c r="B32"/>
      <c r="C32"/>
      <c r="D32"/>
      <c r="E32"/>
      <c r="F32"/>
      <c r="G32" s="26"/>
      <c r="H32" s="27" t="s">
        <v>119</v>
      </c>
      <c r="K32" s="27" t="s">
        <v>120</v>
      </c>
    </row>
    <row r="33" spans="8:11" ht="16.5" customHeight="1" outlineLevel="1" x14ac:dyDescent="0.2">
      <c r="H33" s="8" t="s">
        <v>122</v>
      </c>
      <c r="K33" s="8" t="s">
        <v>123</v>
      </c>
    </row>
    <row r="34" spans="8:11" ht="32.25" customHeight="1" outlineLevel="1" x14ac:dyDescent="0.2">
      <c r="H34" s="14" t="s">
        <v>124</v>
      </c>
      <c r="J34" s="29"/>
      <c r="K34" s="14" t="s">
        <v>125</v>
      </c>
    </row>
    <row r="35" spans="8:11" ht="15" customHeight="1" outlineLevel="1" x14ac:dyDescent="0.2">
      <c r="H35" s="14" t="s">
        <v>126</v>
      </c>
      <c r="K35" s="14" t="s">
        <v>127</v>
      </c>
    </row>
    <row r="36" spans="8:11" ht="19.5" customHeight="1" outlineLevel="1" x14ac:dyDescent="0.2">
      <c r="H36" s="14" t="s">
        <v>128</v>
      </c>
      <c r="K36" s="14" t="s">
        <v>118</v>
      </c>
    </row>
    <row r="37" spans="8:11" ht="32.25" customHeight="1" outlineLevel="1" x14ac:dyDescent="0.2">
      <c r="H37" s="14" t="s">
        <v>129</v>
      </c>
      <c r="K37" s="14" t="s">
        <v>130</v>
      </c>
    </row>
    <row r="38" spans="8:11" ht="15" customHeight="1" outlineLevel="1" x14ac:dyDescent="0.2">
      <c r="H38" s="14" t="s">
        <v>131</v>
      </c>
      <c r="K38" s="14" t="s">
        <v>131</v>
      </c>
    </row>
    <row r="39" spans="8:11" ht="15" customHeight="1" outlineLevel="1" x14ac:dyDescent="0.2">
      <c r="H39" s="14" t="s">
        <v>132</v>
      </c>
      <c r="K39" s="14" t="s">
        <v>133</v>
      </c>
    </row>
    <row r="40" spans="8:11" ht="15" customHeight="1" outlineLevel="1" x14ac:dyDescent="0.2">
      <c r="H40" s="14" t="s">
        <v>134</v>
      </c>
      <c r="K40" s="14" t="s">
        <v>135</v>
      </c>
    </row>
    <row r="41" spans="8:11" ht="15" outlineLevel="1" x14ac:dyDescent="0.2">
      <c r="H41" s="14" t="s">
        <v>136</v>
      </c>
      <c r="K41" s="14" t="s">
        <v>137</v>
      </c>
    </row>
    <row r="42" spans="8:11" ht="15" outlineLevel="1" x14ac:dyDescent="0.2">
      <c r="H42" s="14" t="s">
        <v>138</v>
      </c>
      <c r="K42" s="14" t="s">
        <v>139</v>
      </c>
    </row>
    <row r="43" spans="8:11" ht="15" outlineLevel="1" x14ac:dyDescent="0.2">
      <c r="H43" s="14" t="s">
        <v>140</v>
      </c>
      <c r="K43" s="14" t="s">
        <v>141</v>
      </c>
    </row>
    <row r="44" spans="8:11" ht="15" outlineLevel="1" x14ac:dyDescent="0.2">
      <c r="H44" s="8" t="s">
        <v>142</v>
      </c>
      <c r="K44" s="8" t="s">
        <v>143</v>
      </c>
    </row>
    <row r="45" spans="8:11" ht="15" customHeight="1" outlineLevel="1" x14ac:dyDescent="0.2">
      <c r="H45" s="14" t="s">
        <v>144</v>
      </c>
      <c r="K45" s="14" t="s">
        <v>145</v>
      </c>
    </row>
    <row r="46" spans="8:11" ht="15" x14ac:dyDescent="0.2">
      <c r="H46" s="8" t="s">
        <v>146</v>
      </c>
      <c r="K46" s="8" t="s">
        <v>147</v>
      </c>
    </row>
    <row r="47" spans="8:11" ht="15" x14ac:dyDescent="0.2">
      <c r="H47" s="8" t="s">
        <v>148</v>
      </c>
      <c r="K47" s="8" t="s">
        <v>149</v>
      </c>
    </row>
    <row r="48" spans="8:11" ht="15" x14ac:dyDescent="0.2">
      <c r="H48" s="8" t="s">
        <v>150</v>
      </c>
      <c r="K48" s="8" t="s">
        <v>151</v>
      </c>
    </row>
    <row r="49" spans="7:11" ht="15" outlineLevel="1" x14ac:dyDescent="0.2">
      <c r="H49" s="8" t="s">
        <v>152</v>
      </c>
      <c r="K49" s="8" t="s">
        <v>153</v>
      </c>
    </row>
    <row r="50" spans="7:11" ht="15" customHeight="1" outlineLevel="1" x14ac:dyDescent="0.2">
      <c r="H50" s="8" t="s">
        <v>154</v>
      </c>
      <c r="K50" s="8" t="s">
        <v>155</v>
      </c>
    </row>
    <row r="51" spans="7:11" ht="18" customHeight="1" outlineLevel="1" x14ac:dyDescent="0.2">
      <c r="H51" s="8" t="s">
        <v>156</v>
      </c>
      <c r="K51" s="8" t="s">
        <v>157</v>
      </c>
    </row>
    <row r="52" spans="7:11" ht="15" customHeight="1" outlineLevel="1" x14ac:dyDescent="0.2">
      <c r="H52" s="8" t="s">
        <v>158</v>
      </c>
      <c r="K52" s="8" t="s">
        <v>159</v>
      </c>
    </row>
    <row r="53" spans="7:11" ht="15" outlineLevel="1" x14ac:dyDescent="0.2">
      <c r="H53" s="8" t="s">
        <v>160</v>
      </c>
      <c r="K53" s="8" t="s">
        <v>161</v>
      </c>
    </row>
    <row r="54" spans="7:11" ht="15" customHeight="1" outlineLevel="1" x14ac:dyDescent="0.2">
      <c r="H54" s="8" t="s">
        <v>162</v>
      </c>
      <c r="K54" s="8" t="s">
        <v>163</v>
      </c>
    </row>
    <row r="55" spans="7:11" ht="17.25" customHeight="1" outlineLevel="1" x14ac:dyDescent="0.2">
      <c r="H55" s="8" t="s">
        <v>164</v>
      </c>
      <c r="K55" s="8" t="s">
        <v>165</v>
      </c>
    </row>
    <row r="56" spans="7:11" ht="15.75" customHeight="1" outlineLevel="1" x14ac:dyDescent="0.2">
      <c r="H56" s="8" t="s">
        <v>166</v>
      </c>
      <c r="K56" s="8" t="s">
        <v>167</v>
      </c>
    </row>
    <row r="57" spans="7:11" ht="15" outlineLevel="1" x14ac:dyDescent="0.2">
      <c r="H57" s="8" t="s">
        <v>168</v>
      </c>
      <c r="K57" s="8" t="s">
        <v>169</v>
      </c>
    </row>
    <row r="58" spans="7:11" ht="15" outlineLevel="1" x14ac:dyDescent="0.2">
      <c r="H58" s="8" t="s">
        <v>170</v>
      </c>
      <c r="K58" s="8" t="s">
        <v>171</v>
      </c>
    </row>
    <row r="59" spans="7:11" ht="17.25" customHeight="1" outlineLevel="1" x14ac:dyDescent="0.2">
      <c r="H59" s="8" t="s">
        <v>172</v>
      </c>
      <c r="K59" s="8" t="s">
        <v>173</v>
      </c>
    </row>
    <row r="60" spans="7:11" ht="15" outlineLevel="1" x14ac:dyDescent="0.2">
      <c r="G60" s="32"/>
      <c r="H60" s="8" t="s">
        <v>174</v>
      </c>
      <c r="K60" s="8" t="s">
        <v>175</v>
      </c>
    </row>
    <row r="61" spans="7:11" ht="15" customHeight="1" outlineLevel="1" x14ac:dyDescent="0.2">
      <c r="H61" s="8" t="s">
        <v>176</v>
      </c>
      <c r="K61" s="8" t="s">
        <v>177</v>
      </c>
    </row>
    <row r="62" spans="7:11" ht="15" outlineLevel="1" x14ac:dyDescent="0.2">
      <c r="H62" s="8" t="s">
        <v>178</v>
      </c>
      <c r="K62" s="8" t="s">
        <v>179</v>
      </c>
    </row>
    <row r="63" spans="7:11" ht="15" outlineLevel="1" x14ac:dyDescent="0.2">
      <c r="H63" s="8" t="s">
        <v>180</v>
      </c>
      <c r="K63" s="8" t="s">
        <v>181</v>
      </c>
    </row>
    <row r="64" spans="7:11" ht="15" outlineLevel="1" x14ac:dyDescent="0.2">
      <c r="H64" s="8" t="s">
        <v>182</v>
      </c>
      <c r="K64" s="8" t="s">
        <v>183</v>
      </c>
    </row>
    <row r="65" spans="8:14" ht="15" outlineLevel="1" x14ac:dyDescent="0.2">
      <c r="H65" s="8" t="s">
        <v>184</v>
      </c>
      <c r="K65" s="8" t="s">
        <v>185</v>
      </c>
    </row>
    <row r="66" spans="8:14" ht="15" outlineLevel="1" x14ac:dyDescent="0.2">
      <c r="H66" s="8" t="s">
        <v>186</v>
      </c>
      <c r="K66" s="8" t="s">
        <v>187</v>
      </c>
    </row>
    <row r="67" spans="8:14" ht="15" outlineLevel="1" x14ac:dyDescent="0.2">
      <c r="H67" s="8" t="s">
        <v>188</v>
      </c>
      <c r="K67" s="8" t="s">
        <v>189</v>
      </c>
    </row>
    <row r="68" spans="8:14" ht="18.75" customHeight="1" outlineLevel="1" x14ac:dyDescent="0.2">
      <c r="H68" s="8" t="s">
        <v>190</v>
      </c>
      <c r="K68" s="8" t="s">
        <v>191</v>
      </c>
    </row>
    <row r="69" spans="8:14" ht="15" x14ac:dyDescent="0.2">
      <c r="H69" s="8" t="s">
        <v>192</v>
      </c>
      <c r="K69" s="8" t="s">
        <v>193</v>
      </c>
    </row>
    <row r="70" spans="8:14" ht="15" x14ac:dyDescent="0.2">
      <c r="H70" s="8" t="s">
        <v>194</v>
      </c>
      <c r="K70" s="8" t="s">
        <v>195</v>
      </c>
    </row>
    <row r="71" spans="8:14" ht="15" x14ac:dyDescent="0.2">
      <c r="H71" s="8" t="s">
        <v>196</v>
      </c>
      <c r="K71" s="8" t="s">
        <v>197</v>
      </c>
    </row>
    <row r="72" spans="8:14" ht="18" customHeight="1" outlineLevel="1" x14ac:dyDescent="0.2">
      <c r="H72" s="8" t="s">
        <v>198</v>
      </c>
      <c r="K72" s="8" t="s">
        <v>199</v>
      </c>
    </row>
    <row r="73" spans="8:14" ht="15" outlineLevel="1" x14ac:dyDescent="0.2">
      <c r="H73" s="8" t="s">
        <v>200</v>
      </c>
      <c r="K73" s="8" t="s">
        <v>201</v>
      </c>
    </row>
    <row r="74" spans="8:14" ht="15" outlineLevel="1" x14ac:dyDescent="0.2">
      <c r="H74" s="33" t="s">
        <v>202</v>
      </c>
      <c r="K74" s="8" t="s">
        <v>203</v>
      </c>
    </row>
    <row r="75" spans="8:14" ht="15" outlineLevel="1" x14ac:dyDescent="0.2">
      <c r="H75" s="33" t="s">
        <v>204</v>
      </c>
      <c r="K75" s="8" t="s">
        <v>204</v>
      </c>
    </row>
    <row r="76" spans="8:14" ht="15" outlineLevel="1" x14ac:dyDescent="0.2">
      <c r="H76" s="33" t="s">
        <v>205</v>
      </c>
      <c r="K76" s="8" t="s">
        <v>205</v>
      </c>
    </row>
    <row r="77" spans="8:14" ht="15" outlineLevel="1" x14ac:dyDescent="0.2">
      <c r="H77" s="33" t="s">
        <v>206</v>
      </c>
      <c r="K77" s="8" t="s">
        <v>207</v>
      </c>
      <c r="L77" s="25">
        <v>1</v>
      </c>
      <c r="N77" s="1">
        <v>1</v>
      </c>
    </row>
    <row r="78" spans="8:14" ht="19.5" customHeight="1" outlineLevel="1" x14ac:dyDescent="0.2">
      <c r="H78" s="33" t="s">
        <v>208</v>
      </c>
      <c r="K78" s="8" t="s">
        <v>209</v>
      </c>
      <c r="L78" s="25"/>
      <c r="N78" s="1"/>
    </row>
    <row r="79" spans="8:14" ht="19.5" customHeight="1" outlineLevel="1" x14ac:dyDescent="0.2">
      <c r="H79" s="33" t="s">
        <v>210</v>
      </c>
      <c r="I79" t="s">
        <v>211</v>
      </c>
      <c r="K79" s="8" t="s">
        <v>212</v>
      </c>
      <c r="L79" s="25"/>
      <c r="N79" s="1"/>
    </row>
    <row r="80" spans="8:14" ht="19.5" customHeight="1" outlineLevel="1" x14ac:dyDescent="0.2">
      <c r="H80" s="33" t="s">
        <v>213</v>
      </c>
      <c r="K80" s="8" t="s">
        <v>214</v>
      </c>
      <c r="L80" s="25">
        <v>2</v>
      </c>
      <c r="N80" s="1">
        <v>2</v>
      </c>
    </row>
    <row r="81" spans="8:17" ht="18" customHeight="1" outlineLevel="1" x14ac:dyDescent="0.2">
      <c r="H81" s="33" t="s">
        <v>215</v>
      </c>
      <c r="K81" s="8" t="s">
        <v>216</v>
      </c>
      <c r="L81" s="25">
        <v>3</v>
      </c>
      <c r="N81" s="1">
        <v>3</v>
      </c>
    </row>
    <row r="82" spans="8:17" ht="21" customHeight="1" outlineLevel="1" x14ac:dyDescent="0.2">
      <c r="H82" s="33"/>
      <c r="K82" s="8" t="s">
        <v>217</v>
      </c>
      <c r="L82" s="25">
        <v>4</v>
      </c>
      <c r="N82" s="1">
        <v>4</v>
      </c>
    </row>
    <row r="83" spans="8:17" ht="15" outlineLevel="1" x14ac:dyDescent="0.2">
      <c r="H83" s="33" t="s">
        <v>218</v>
      </c>
      <c r="K83" s="8" t="s">
        <v>219</v>
      </c>
      <c r="L83" s="25">
        <v>5</v>
      </c>
      <c r="N83" s="1"/>
    </row>
    <row r="84" spans="8:17" ht="18" customHeight="1" outlineLevel="1" x14ac:dyDescent="0.2">
      <c r="H84" s="33" t="s">
        <v>220</v>
      </c>
      <c r="K84" s="8" t="s">
        <v>221</v>
      </c>
      <c r="L84" s="25">
        <v>6</v>
      </c>
    </row>
    <row r="85" spans="8:17" ht="15" outlineLevel="1" x14ac:dyDescent="0.2">
      <c r="H85" s="33" t="s">
        <v>222</v>
      </c>
      <c r="K85" s="8" t="s">
        <v>223</v>
      </c>
      <c r="L85" s="25">
        <v>7</v>
      </c>
    </row>
    <row r="86" spans="8:17" ht="19.5" customHeight="1" outlineLevel="1" x14ac:dyDescent="0.2">
      <c r="H86" s="33" t="s">
        <v>224</v>
      </c>
      <c r="K86" s="8" t="s">
        <v>225</v>
      </c>
      <c r="L86" s="25"/>
    </row>
    <row r="87" spans="8:17" ht="15" outlineLevel="1" x14ac:dyDescent="0.2">
      <c r="H87" s="33" t="s">
        <v>226</v>
      </c>
      <c r="K87" s="33" t="s">
        <v>227</v>
      </c>
      <c r="L87" s="25">
        <v>8</v>
      </c>
      <c r="O87" s="34" t="s">
        <v>228</v>
      </c>
      <c r="P87" s="34"/>
      <c r="Q87" s="34"/>
    </row>
    <row r="88" spans="8:17" ht="15" outlineLevel="1" x14ac:dyDescent="0.2">
      <c r="H88" s="33" t="s">
        <v>229</v>
      </c>
      <c r="K88" s="33" t="s">
        <v>230</v>
      </c>
      <c r="L88" s="25">
        <v>9</v>
      </c>
      <c r="O88" s="35" t="s">
        <v>231</v>
      </c>
      <c r="P88" s="35" t="s">
        <v>232</v>
      </c>
      <c r="Q88" s="35" t="s">
        <v>233</v>
      </c>
    </row>
    <row r="89" spans="8:17" ht="15" customHeight="1" outlineLevel="1" x14ac:dyDescent="0.2">
      <c r="H89" s="33" t="s">
        <v>234</v>
      </c>
      <c r="K89" s="33" t="s">
        <v>235</v>
      </c>
      <c r="O89" s="36">
        <v>45665</v>
      </c>
      <c r="P89" s="37" t="s">
        <v>236</v>
      </c>
      <c r="Q89" s="15"/>
    </row>
    <row r="90" spans="8:17" ht="28.5" outlineLevel="1" x14ac:dyDescent="0.2">
      <c r="H90" s="38" t="s">
        <v>237</v>
      </c>
      <c r="K90" s="33" t="s">
        <v>238</v>
      </c>
      <c r="O90" s="36">
        <v>45666</v>
      </c>
      <c r="P90" s="37" t="s">
        <v>239</v>
      </c>
      <c r="Q90" s="15"/>
    </row>
    <row r="91" spans="8:17" ht="15" customHeight="1" outlineLevel="1" x14ac:dyDescent="0.2">
      <c r="H91" s="33" t="s">
        <v>240</v>
      </c>
      <c r="K91" s="33" t="s">
        <v>241</v>
      </c>
      <c r="O91" s="36">
        <v>45667</v>
      </c>
      <c r="P91" s="37" t="s">
        <v>242</v>
      </c>
      <c r="Q91" s="15"/>
    </row>
    <row r="92" spans="8:17" x14ac:dyDescent="0.2">
      <c r="H92" s="33" t="s">
        <v>243</v>
      </c>
      <c r="K92" s="33"/>
      <c r="O92" s="36">
        <v>45668</v>
      </c>
      <c r="P92" s="15" t="s">
        <v>244</v>
      </c>
      <c r="Q92" s="39" t="s">
        <v>245</v>
      </c>
    </row>
    <row r="93" spans="8:17" ht="18" customHeight="1" x14ac:dyDescent="0.2">
      <c r="H93" s="33" t="s">
        <v>246</v>
      </c>
      <c r="K93" s="33" t="s">
        <v>247</v>
      </c>
      <c r="O93" s="22"/>
      <c r="P93" s="22"/>
      <c r="Q93" s="22"/>
    </row>
    <row r="94" spans="8:17" ht="20.25" customHeight="1" x14ac:dyDescent="0.2">
      <c r="H94" s="33" t="s">
        <v>248</v>
      </c>
      <c r="K94" s="33" t="s">
        <v>249</v>
      </c>
      <c r="O94" s="22"/>
      <c r="P94" s="22"/>
      <c r="Q94" s="22"/>
    </row>
    <row r="95" spans="8:17" ht="17.45" customHeight="1" outlineLevel="1" x14ac:dyDescent="0.2">
      <c r="H95" s="33" t="s">
        <v>250</v>
      </c>
      <c r="K95" s="33" t="s">
        <v>251</v>
      </c>
      <c r="O95" s="22"/>
      <c r="P95" s="22"/>
      <c r="Q95" s="22"/>
    </row>
    <row r="96" spans="8:17" outlineLevel="1" x14ac:dyDescent="0.2">
      <c r="H96" s="33" t="s">
        <v>252</v>
      </c>
      <c r="K96" s="33" t="s">
        <v>253</v>
      </c>
    </row>
    <row r="97" spans="8:11" ht="67.5" customHeight="1" outlineLevel="1" x14ac:dyDescent="0.2">
      <c r="H97" s="33" t="s">
        <v>254</v>
      </c>
      <c r="K97" s="33" t="s">
        <v>255</v>
      </c>
    </row>
    <row r="98" spans="8:11" ht="15" customHeight="1" outlineLevel="1" x14ac:dyDescent="0.2">
      <c r="H98" s="15" t="s">
        <v>256</v>
      </c>
      <c r="K98" s="33" t="s">
        <v>257</v>
      </c>
    </row>
    <row r="99" spans="8:11" ht="15" customHeight="1" outlineLevel="1" x14ac:dyDescent="0.2">
      <c r="H99" s="15" t="s">
        <v>258</v>
      </c>
      <c r="K99" s="33" t="s">
        <v>259</v>
      </c>
    </row>
    <row r="100" spans="8:11" ht="14.25" customHeight="1" outlineLevel="1" x14ac:dyDescent="0.2">
      <c r="H100" s="15" t="s">
        <v>260</v>
      </c>
      <c r="K100" s="38" t="s">
        <v>261</v>
      </c>
    </row>
    <row r="101" spans="8:11" ht="18" customHeight="1" outlineLevel="1" x14ac:dyDescent="0.2">
      <c r="H101" s="15" t="s">
        <v>262</v>
      </c>
      <c r="K101" s="33" t="s">
        <v>263</v>
      </c>
    </row>
    <row r="102" spans="8:11" ht="20.25" customHeight="1" outlineLevel="1" x14ac:dyDescent="0.2">
      <c r="H102" s="15" t="s">
        <v>264</v>
      </c>
      <c r="K102" s="33" t="s">
        <v>265</v>
      </c>
    </row>
    <row r="103" spans="8:11" ht="21.75" customHeight="1" outlineLevel="1" x14ac:dyDescent="0.2">
      <c r="H103" s="15" t="s">
        <v>266</v>
      </c>
      <c r="K103" s="33" t="s">
        <v>267</v>
      </c>
    </row>
    <row r="104" spans="8:11" ht="14.25" customHeight="1" outlineLevel="1" x14ac:dyDescent="0.2">
      <c r="H104" s="15" t="s">
        <v>268</v>
      </c>
      <c r="K104" s="33" t="s">
        <v>269</v>
      </c>
    </row>
    <row r="105" spans="8:11" ht="18.75" customHeight="1" outlineLevel="1" x14ac:dyDescent="0.2">
      <c r="H105" s="15" t="s">
        <v>270</v>
      </c>
      <c r="K105" s="33" t="s">
        <v>271</v>
      </c>
    </row>
    <row r="106" spans="8:11" ht="15.75" customHeight="1" outlineLevel="1" x14ac:dyDescent="0.2">
      <c r="H106" s="37" t="s">
        <v>272</v>
      </c>
      <c r="K106" s="33" t="s">
        <v>273</v>
      </c>
    </row>
    <row r="107" spans="8:11" ht="18" customHeight="1" outlineLevel="1" x14ac:dyDescent="0.2">
      <c r="H107" s="15" t="s">
        <v>274</v>
      </c>
      <c r="K107" s="33" t="s">
        <v>275</v>
      </c>
    </row>
    <row r="108" spans="8:11" ht="15" customHeight="1" outlineLevel="1" x14ac:dyDescent="0.2">
      <c r="H108" s="15" t="s">
        <v>276</v>
      </c>
      <c r="K108" s="15" t="s">
        <v>277</v>
      </c>
    </row>
    <row r="109" spans="8:11" ht="14.25" customHeight="1" outlineLevel="1" x14ac:dyDescent="0.2">
      <c r="H109" s="15" t="s">
        <v>278</v>
      </c>
      <c r="K109" s="15" t="s">
        <v>279</v>
      </c>
    </row>
    <row r="110" spans="8:11" ht="15" customHeight="1" outlineLevel="1" x14ac:dyDescent="0.2">
      <c r="H110" s="33" t="s">
        <v>280</v>
      </c>
      <c r="K110" s="15" t="s">
        <v>281</v>
      </c>
    </row>
    <row r="111" spans="8:11" ht="15" customHeight="1" outlineLevel="1" x14ac:dyDescent="0.2">
      <c r="H111" s="33" t="s">
        <v>282</v>
      </c>
      <c r="K111" s="15" t="s">
        <v>283</v>
      </c>
    </row>
    <row r="112" spans="8:11" ht="15" customHeight="1" outlineLevel="1" x14ac:dyDescent="0.2">
      <c r="H112" s="33" t="s">
        <v>284</v>
      </c>
      <c r="K112" s="15" t="s">
        <v>285</v>
      </c>
    </row>
    <row r="113" spans="8:11" ht="14.25" customHeight="1" outlineLevel="1" x14ac:dyDescent="0.2">
      <c r="H113" s="33" t="s">
        <v>286</v>
      </c>
      <c r="K113" s="15" t="s">
        <v>266</v>
      </c>
    </row>
    <row r="114" spans="8:11" ht="18" customHeight="1" outlineLevel="1" x14ac:dyDescent="0.2">
      <c r="H114" s="33" t="s">
        <v>287</v>
      </c>
      <c r="K114" s="15" t="s">
        <v>288</v>
      </c>
    </row>
    <row r="115" spans="8:11" x14ac:dyDescent="0.2">
      <c r="H115" s="33" t="s">
        <v>289</v>
      </c>
      <c r="K115" s="15" t="s">
        <v>290</v>
      </c>
    </row>
    <row r="116" spans="8:11" ht="15" customHeight="1" x14ac:dyDescent="0.2">
      <c r="H116" s="33" t="s">
        <v>291</v>
      </c>
      <c r="K116" s="37" t="s">
        <v>292</v>
      </c>
    </row>
    <row r="117" spans="8:11" ht="18" customHeight="1" x14ac:dyDescent="0.2">
      <c r="H117" s="33" t="s">
        <v>293</v>
      </c>
      <c r="K117" s="15" t="s">
        <v>294</v>
      </c>
    </row>
    <row r="118" spans="8:11" ht="15.75" customHeight="1" outlineLevel="1" x14ac:dyDescent="0.2">
      <c r="H118" s="33" t="s">
        <v>295</v>
      </c>
      <c r="K118" s="15" t="s">
        <v>296</v>
      </c>
    </row>
    <row r="119" spans="8:11" outlineLevel="1" x14ac:dyDescent="0.2">
      <c r="H119" s="33" t="s">
        <v>121</v>
      </c>
      <c r="K119" s="15" t="s">
        <v>297</v>
      </c>
    </row>
    <row r="120" spans="8:11" ht="15.75" outlineLevel="1" x14ac:dyDescent="0.25">
      <c r="H120" s="33" t="s">
        <v>298</v>
      </c>
      <c r="I120" s="41"/>
      <c r="K120" s="33" t="s">
        <v>299</v>
      </c>
    </row>
    <row r="121" spans="8:11" ht="15.75" outlineLevel="1" x14ac:dyDescent="0.25">
      <c r="H121" s="33" t="s">
        <v>300</v>
      </c>
      <c r="I121" s="41"/>
      <c r="K121" s="33" t="s">
        <v>301</v>
      </c>
    </row>
    <row r="122" spans="8:11" outlineLevel="1" x14ac:dyDescent="0.2">
      <c r="H122" s="33" t="s">
        <v>302</v>
      </c>
      <c r="I122" s="31"/>
      <c r="K122" s="33" t="s">
        <v>303</v>
      </c>
    </row>
    <row r="123" spans="8:11" outlineLevel="1" x14ac:dyDescent="0.2">
      <c r="H123" s="33" t="s">
        <v>304</v>
      </c>
      <c r="K123" s="33" t="s">
        <v>305</v>
      </c>
    </row>
    <row r="124" spans="8:11" outlineLevel="1" x14ac:dyDescent="0.2">
      <c r="H124" s="33" t="s">
        <v>306</v>
      </c>
      <c r="K124" s="33" t="s">
        <v>307</v>
      </c>
    </row>
    <row r="125" spans="8:11" ht="20.25" customHeight="1" outlineLevel="1" x14ac:dyDescent="0.2">
      <c r="H125" s="33" t="s">
        <v>309</v>
      </c>
      <c r="K125" s="33" t="s">
        <v>310</v>
      </c>
    </row>
    <row r="126" spans="8:11" ht="18" customHeight="1" outlineLevel="1" x14ac:dyDescent="0.2">
      <c r="H126" s="33" t="s">
        <v>311</v>
      </c>
      <c r="K126" s="33" t="s">
        <v>312</v>
      </c>
    </row>
    <row r="127" spans="8:11" outlineLevel="1" x14ac:dyDescent="0.2">
      <c r="H127" s="33" t="s">
        <v>313</v>
      </c>
      <c r="I127" s="23"/>
      <c r="K127" s="33" t="s">
        <v>314</v>
      </c>
    </row>
    <row r="128" spans="8:11" ht="19.5" customHeight="1" outlineLevel="1" x14ac:dyDescent="0.2">
      <c r="H128" s="33" t="s">
        <v>315</v>
      </c>
      <c r="I128" s="23"/>
      <c r="J128" s="42"/>
      <c r="K128" s="33" t="s">
        <v>316</v>
      </c>
    </row>
    <row r="129" spans="1:11" outlineLevel="1" x14ac:dyDescent="0.2">
      <c r="G129" s="43"/>
      <c r="H129" s="33" t="s">
        <v>317</v>
      </c>
      <c r="I129" s="40"/>
      <c r="J129" s="40"/>
      <c r="K129" s="33" t="s">
        <v>318</v>
      </c>
    </row>
    <row r="130" spans="1:11" outlineLevel="1" x14ac:dyDescent="0.2">
      <c r="H130" s="33" t="s">
        <v>319</v>
      </c>
      <c r="I130" s="42"/>
      <c r="K130" s="33" t="s">
        <v>320</v>
      </c>
    </row>
    <row r="131" spans="1:11" outlineLevel="1" x14ac:dyDescent="0.2">
      <c r="H131" s="33" t="s">
        <v>321</v>
      </c>
      <c r="K131" s="33" t="s">
        <v>300</v>
      </c>
    </row>
    <row r="132" spans="1:11" outlineLevel="1" x14ac:dyDescent="0.2">
      <c r="H132" s="33" t="s">
        <v>322</v>
      </c>
      <c r="K132" s="33" t="s">
        <v>323</v>
      </c>
    </row>
    <row r="133" spans="1:11" outlineLevel="1" x14ac:dyDescent="0.2">
      <c r="H133" s="33" t="s">
        <v>324</v>
      </c>
      <c r="K133" s="33" t="s">
        <v>325</v>
      </c>
    </row>
    <row r="134" spans="1:11" outlineLevel="1" x14ac:dyDescent="0.2">
      <c r="H134" s="33" t="s">
        <v>326</v>
      </c>
      <c r="K134" s="33" t="s">
        <v>327</v>
      </c>
    </row>
    <row r="135" spans="1:11" outlineLevel="1" x14ac:dyDescent="0.2">
      <c r="H135" s="33" t="s">
        <v>328</v>
      </c>
      <c r="K135" s="33" t="s">
        <v>329</v>
      </c>
    </row>
    <row r="136" spans="1:11" outlineLevel="1" x14ac:dyDescent="0.2">
      <c r="H136" s="33" t="s">
        <v>330</v>
      </c>
      <c r="K136" s="33" t="s">
        <v>331</v>
      </c>
    </row>
    <row r="137" spans="1:11" ht="15" customHeight="1" outlineLevel="1" x14ac:dyDescent="0.2">
      <c r="H137" s="33" t="s">
        <v>332</v>
      </c>
      <c r="K137" s="33" t="s">
        <v>333</v>
      </c>
    </row>
    <row r="138" spans="1:11" x14ac:dyDescent="0.2">
      <c r="H138" s="33" t="s">
        <v>334</v>
      </c>
      <c r="K138" s="33" t="s">
        <v>335</v>
      </c>
    </row>
    <row r="139" spans="1:11" ht="16.5" customHeight="1" x14ac:dyDescent="0.2">
      <c r="H139" s="33" t="s">
        <v>336</v>
      </c>
      <c r="K139" s="33" t="s">
        <v>337</v>
      </c>
    </row>
    <row r="140" spans="1:11" s="28" customFormat="1" ht="19.5" customHeight="1" x14ac:dyDescent="0.2">
      <c r="A140" s="25"/>
      <c r="B140"/>
      <c r="C140"/>
      <c r="D140"/>
      <c r="E140"/>
      <c r="F140"/>
      <c r="H140" s="33" t="s">
        <v>338</v>
      </c>
      <c r="K140" s="33" t="s">
        <v>339</v>
      </c>
    </row>
    <row r="141" spans="1:11" ht="16.5" customHeight="1" outlineLevel="1" x14ac:dyDescent="0.2">
      <c r="H141" s="33" t="s">
        <v>340</v>
      </c>
      <c r="K141" s="33" t="s">
        <v>341</v>
      </c>
    </row>
    <row r="142" spans="1:11" ht="17.25" customHeight="1" outlineLevel="1" x14ac:dyDescent="0.2">
      <c r="H142" s="33" t="s">
        <v>342</v>
      </c>
      <c r="K142" s="33" t="s">
        <v>343</v>
      </c>
    </row>
    <row r="143" spans="1:11" outlineLevel="1" x14ac:dyDescent="0.2">
      <c r="H143" s="33" t="s">
        <v>344</v>
      </c>
      <c r="K143" s="33" t="s">
        <v>345</v>
      </c>
    </row>
    <row r="144" spans="1:11" outlineLevel="1" x14ac:dyDescent="0.2">
      <c r="H144" s="33" t="s">
        <v>346</v>
      </c>
      <c r="K144" s="33" t="s">
        <v>347</v>
      </c>
    </row>
    <row r="145" spans="1:15" outlineLevel="1" x14ac:dyDescent="0.2">
      <c r="H145" s="33" t="s">
        <v>348</v>
      </c>
      <c r="K145" s="33" t="s">
        <v>349</v>
      </c>
    </row>
    <row r="146" spans="1:15" ht="18.75" customHeight="1" outlineLevel="1" x14ac:dyDescent="0.2">
      <c r="H146" s="15" t="s">
        <v>350</v>
      </c>
      <c r="K146" s="33" t="s">
        <v>351</v>
      </c>
    </row>
    <row r="147" spans="1:15" ht="16.5" customHeight="1" outlineLevel="1" x14ac:dyDescent="0.2">
      <c r="H147" s="33" t="s">
        <v>352</v>
      </c>
      <c r="K147" s="33" t="s">
        <v>353</v>
      </c>
    </row>
    <row r="148" spans="1:15" ht="18.75" customHeight="1" outlineLevel="1" x14ac:dyDescent="0.2">
      <c r="H148" s="33" t="s">
        <v>354</v>
      </c>
      <c r="K148" s="33" t="s">
        <v>355</v>
      </c>
    </row>
    <row r="149" spans="1:15" ht="15" outlineLevel="1" thickBot="1" x14ac:dyDescent="0.25">
      <c r="H149" s="15" t="s">
        <v>356</v>
      </c>
      <c r="K149" s="33" t="s">
        <v>357</v>
      </c>
    </row>
    <row r="150" spans="1:15" ht="18" customHeight="1" outlineLevel="1" thickBot="1" x14ac:dyDescent="0.25">
      <c r="G150" s="26"/>
      <c r="H150" s="33" t="s">
        <v>358</v>
      </c>
      <c r="K150" s="33" t="s">
        <v>359</v>
      </c>
      <c r="M150" s="44">
        <v>150</v>
      </c>
      <c r="N150" s="45">
        <v>7000000</v>
      </c>
      <c r="O150" s="24">
        <f>N150*M150</f>
        <v>1050000000</v>
      </c>
    </row>
    <row r="151" spans="1:15" ht="15" outlineLevel="1" thickBot="1" x14ac:dyDescent="0.25">
      <c r="H151" s="33" t="s">
        <v>360</v>
      </c>
      <c r="K151" s="33" t="s">
        <v>361</v>
      </c>
      <c r="M151" s="46">
        <v>179</v>
      </c>
      <c r="N151" s="47">
        <v>6600000</v>
      </c>
      <c r="O151" s="24">
        <f>N151*M151</f>
        <v>1181400000</v>
      </c>
    </row>
    <row r="152" spans="1:15" ht="33" customHeight="1" outlineLevel="1" x14ac:dyDescent="0.2">
      <c r="H152" s="33" t="s">
        <v>362</v>
      </c>
      <c r="K152" s="33" t="s">
        <v>363</v>
      </c>
      <c r="O152" s="42">
        <f>SUM(O150:O151)</f>
        <v>2231400000</v>
      </c>
    </row>
    <row r="153" spans="1:15" ht="19.5" customHeight="1" outlineLevel="1" x14ac:dyDescent="0.2">
      <c r="H153" s="33" t="s">
        <v>364</v>
      </c>
      <c r="K153" s="33" t="s">
        <v>365</v>
      </c>
    </row>
    <row r="154" spans="1:15" outlineLevel="1" x14ac:dyDescent="0.2">
      <c r="H154" s="33" t="s">
        <v>366</v>
      </c>
      <c r="K154" s="33" t="s">
        <v>367</v>
      </c>
    </row>
    <row r="155" spans="1:15" ht="15.75" customHeight="1" outlineLevel="1" x14ac:dyDescent="0.2">
      <c r="H155" s="33" t="s">
        <v>368</v>
      </c>
      <c r="K155" s="33" t="s">
        <v>369</v>
      </c>
    </row>
    <row r="156" spans="1:15" ht="17.649999999999999" customHeight="1" outlineLevel="1" x14ac:dyDescent="0.2">
      <c r="H156" s="33" t="s">
        <v>370</v>
      </c>
      <c r="K156" s="15" t="s">
        <v>371</v>
      </c>
    </row>
    <row r="157" spans="1:15" ht="17.649999999999999" customHeight="1" outlineLevel="1" x14ac:dyDescent="0.2">
      <c r="H157" s="33" t="s">
        <v>372</v>
      </c>
      <c r="K157" s="33" t="s">
        <v>373</v>
      </c>
    </row>
    <row r="158" spans="1:15" ht="18.399999999999999" customHeight="1" outlineLevel="1" x14ac:dyDescent="0.2">
      <c r="H158" s="33" t="s">
        <v>374</v>
      </c>
      <c r="K158" s="33" t="s">
        <v>375</v>
      </c>
    </row>
    <row r="159" spans="1:15" s="28" customFormat="1" ht="15.75" customHeight="1" outlineLevel="1" x14ac:dyDescent="0.2">
      <c r="A159" s="25"/>
      <c r="B159"/>
      <c r="C159"/>
      <c r="D159"/>
      <c r="E159"/>
      <c r="F159"/>
      <c r="G159" s="30"/>
      <c r="H159" s="33" t="s">
        <v>376</v>
      </c>
      <c r="K159" s="15" t="s">
        <v>377</v>
      </c>
    </row>
    <row r="160" spans="1:15" outlineLevel="1" x14ac:dyDescent="0.2">
      <c r="H160" s="33"/>
      <c r="K160" s="33" t="s">
        <v>378</v>
      </c>
    </row>
    <row r="161" spans="8:11" x14ac:dyDescent="0.2">
      <c r="H161" s="33" t="s">
        <v>379</v>
      </c>
      <c r="K161" s="33" t="s">
        <v>380</v>
      </c>
    </row>
    <row r="162" spans="8:11" ht="16.5" customHeight="1" x14ac:dyDescent="0.2">
      <c r="H162" s="33" t="s">
        <v>381</v>
      </c>
      <c r="K162" s="33" t="s">
        <v>382</v>
      </c>
    </row>
    <row r="163" spans="8:11" ht="17.25" customHeight="1" x14ac:dyDescent="0.2">
      <c r="H163" s="33" t="s">
        <v>383</v>
      </c>
      <c r="K163" s="33" t="s">
        <v>384</v>
      </c>
    </row>
    <row r="164" spans="8:11" outlineLevel="1" x14ac:dyDescent="0.2">
      <c r="H164" s="33" t="s">
        <v>385</v>
      </c>
      <c r="K164" s="33" t="s">
        <v>386</v>
      </c>
    </row>
    <row r="165" spans="8:11" outlineLevel="1" x14ac:dyDescent="0.2">
      <c r="H165" s="33" t="s">
        <v>387</v>
      </c>
      <c r="K165" s="33" t="s">
        <v>388</v>
      </c>
    </row>
    <row r="166" spans="8:11" ht="18" customHeight="1" outlineLevel="1" x14ac:dyDescent="0.2">
      <c r="H166" s="33" t="s">
        <v>389</v>
      </c>
      <c r="K166" s="33" t="s">
        <v>390</v>
      </c>
    </row>
    <row r="167" spans="8:11" outlineLevel="1" x14ac:dyDescent="0.2">
      <c r="H167" s="33" t="s">
        <v>391</v>
      </c>
      <c r="K167" s="33" t="s">
        <v>392</v>
      </c>
    </row>
    <row r="168" spans="8:11" outlineLevel="1" x14ac:dyDescent="0.2">
      <c r="H168" s="33" t="s">
        <v>393</v>
      </c>
      <c r="K168" s="33" t="s">
        <v>394</v>
      </c>
    </row>
    <row r="169" spans="8:11" outlineLevel="1" x14ac:dyDescent="0.2">
      <c r="H169" s="33" t="s">
        <v>395</v>
      </c>
      <c r="K169" s="33" t="s">
        <v>396</v>
      </c>
    </row>
    <row r="170" spans="8:11" ht="16.5" customHeight="1" outlineLevel="1" x14ac:dyDescent="0.2">
      <c r="H170" s="33" t="s">
        <v>397</v>
      </c>
      <c r="J170" s="49"/>
      <c r="K170" s="33"/>
    </row>
    <row r="171" spans="8:11" ht="16.5" customHeight="1" outlineLevel="1" x14ac:dyDescent="0.2">
      <c r="H171" s="50" t="s">
        <v>398</v>
      </c>
      <c r="I171" s="51"/>
      <c r="J171" s="49"/>
      <c r="K171" s="33" t="s">
        <v>399</v>
      </c>
    </row>
    <row r="172" spans="8:11" ht="17.25" customHeight="1" outlineLevel="1" x14ac:dyDescent="0.2">
      <c r="H172" s="50" t="s">
        <v>400</v>
      </c>
      <c r="I172" s="51"/>
      <c r="J172" s="49"/>
      <c r="K172" s="33" t="s">
        <v>401</v>
      </c>
    </row>
    <row r="173" spans="8:11" outlineLevel="1" x14ac:dyDescent="0.2">
      <c r="H173" s="50" t="s">
        <v>402</v>
      </c>
      <c r="I173" s="51"/>
      <c r="K173" s="33" t="s">
        <v>403</v>
      </c>
    </row>
    <row r="174" spans="8:11" ht="17.25" customHeight="1" outlineLevel="1" x14ac:dyDescent="0.25">
      <c r="H174" s="50" t="s">
        <v>404</v>
      </c>
      <c r="I174" s="52"/>
      <c r="K174" s="33" t="s">
        <v>405</v>
      </c>
    </row>
    <row r="175" spans="8:11" outlineLevel="1" x14ac:dyDescent="0.2">
      <c r="H175" s="50" t="s">
        <v>406</v>
      </c>
      <c r="K175" s="33" t="s">
        <v>407</v>
      </c>
    </row>
    <row r="176" spans="8:11" outlineLevel="1" x14ac:dyDescent="0.2">
      <c r="H176" s="33" t="s">
        <v>308</v>
      </c>
      <c r="K176" s="33" t="s">
        <v>408</v>
      </c>
    </row>
    <row r="177" spans="7:11" outlineLevel="1" x14ac:dyDescent="0.2">
      <c r="K177" s="33" t="s">
        <v>409</v>
      </c>
    </row>
    <row r="178" spans="7:11" outlineLevel="1" x14ac:dyDescent="0.2">
      <c r="K178" s="33" t="s">
        <v>410</v>
      </c>
    </row>
    <row r="179" spans="7:11" ht="16.5" customHeight="1" outlineLevel="1" x14ac:dyDescent="0.2">
      <c r="K179" s="33" t="s">
        <v>411</v>
      </c>
    </row>
    <row r="180" spans="7:11" outlineLevel="1" x14ac:dyDescent="0.2">
      <c r="G180" s="19" t="e">
        <f>#REF!/3</f>
        <v>#REF!</v>
      </c>
    </row>
    <row r="181" spans="7:11" outlineLevel="1" x14ac:dyDescent="0.2"/>
    <row r="182" spans="7:11" outlineLevel="1" x14ac:dyDescent="0.2"/>
    <row r="183" spans="7:11" ht="15" customHeight="1" outlineLevel="1" x14ac:dyDescent="0.2"/>
    <row r="186" spans="7:11" ht="18" customHeight="1" x14ac:dyDescent="0.2"/>
    <row r="187" spans="7:11" ht="16.5" customHeight="1" outlineLevel="1" x14ac:dyDescent="0.2"/>
    <row r="188" spans="7:11" outlineLevel="1" x14ac:dyDescent="0.2"/>
    <row r="189" spans="7:11" outlineLevel="1" x14ac:dyDescent="0.2"/>
    <row r="190" spans="7:11" ht="17.45" customHeight="1" outlineLevel="1" x14ac:dyDescent="0.2"/>
    <row r="191" spans="7:11" outlineLevel="1" x14ac:dyDescent="0.2">
      <c r="G191"/>
      <c r="H191"/>
    </row>
    <row r="192" spans="7:11" outlineLevel="1" x14ac:dyDescent="0.2"/>
    <row r="193" outlineLevel="1" x14ac:dyDescent="0.2"/>
    <row r="194" outlineLevel="1" x14ac:dyDescent="0.2"/>
    <row r="195" outlineLevel="1" x14ac:dyDescent="0.2"/>
    <row r="196" outlineLevel="1" x14ac:dyDescent="0.2"/>
    <row r="197" ht="20.25" customHeight="1" outlineLevel="1" x14ac:dyDescent="0.2"/>
    <row r="198" outlineLevel="1" x14ac:dyDescent="0.2"/>
    <row r="199" outlineLevel="1" x14ac:dyDescent="0.2"/>
    <row r="200" outlineLevel="1" x14ac:dyDescent="0.2"/>
    <row r="201" outlineLevel="1" x14ac:dyDescent="0.2"/>
    <row r="202" ht="21" customHeight="1" outlineLevel="1" x14ac:dyDescent="0.2"/>
    <row r="203" ht="18" customHeight="1" outlineLevel="1" x14ac:dyDescent="0.2"/>
    <row r="204" outlineLevel="1" x14ac:dyDescent="0.2"/>
    <row r="205" outlineLevel="1" x14ac:dyDescent="0.2"/>
    <row r="206" outlineLevel="1" x14ac:dyDescent="0.2"/>
    <row r="208" ht="17.25" customHeight="1" x14ac:dyDescent="0.2"/>
    <row r="209" spans="1:7" ht="17.25" customHeight="1" x14ac:dyDescent="0.2"/>
    <row r="210" spans="1:7" ht="16.5" customHeight="1" outlineLevel="1" x14ac:dyDescent="0.2"/>
    <row r="211" spans="1:7" outlineLevel="1" x14ac:dyDescent="0.2"/>
    <row r="212" spans="1:7" s="53" customFormat="1" ht="18" customHeight="1" outlineLevel="1" x14ac:dyDescent="0.2">
      <c r="A212" s="55"/>
      <c r="B212"/>
      <c r="C212"/>
      <c r="D212"/>
      <c r="E212"/>
      <c r="F212"/>
    </row>
    <row r="213" spans="1:7" outlineLevel="1" x14ac:dyDescent="0.2"/>
    <row r="214" spans="1:7" outlineLevel="1" x14ac:dyDescent="0.2"/>
    <row r="215" spans="1:7" outlineLevel="1" x14ac:dyDescent="0.2"/>
    <row r="216" spans="1:7" ht="16.5" customHeight="1" outlineLevel="1" x14ac:dyDescent="0.2"/>
    <row r="217" spans="1:7" ht="15" customHeight="1" outlineLevel="1" x14ac:dyDescent="0.2"/>
    <row r="218" spans="1:7" s="28" customFormat="1" ht="18" customHeight="1" outlineLevel="1" x14ac:dyDescent="0.2">
      <c r="A218" s="25"/>
      <c r="B218"/>
      <c r="C218"/>
      <c r="D218"/>
      <c r="E218"/>
      <c r="F218"/>
    </row>
    <row r="219" spans="1:7" outlineLevel="1" x14ac:dyDescent="0.2"/>
    <row r="220" spans="1:7" ht="18" customHeight="1" outlineLevel="1" x14ac:dyDescent="0.2"/>
    <row r="221" spans="1:7" outlineLevel="1" x14ac:dyDescent="0.2"/>
    <row r="222" spans="1:7" s="28" customFormat="1" ht="18.75" customHeight="1" outlineLevel="1" x14ac:dyDescent="0.2">
      <c r="A222" s="25"/>
      <c r="B222"/>
      <c r="C222"/>
      <c r="D222"/>
      <c r="E222"/>
      <c r="F222"/>
      <c r="G222" s="26"/>
    </row>
    <row r="223" spans="1:7" ht="16.5" customHeight="1" outlineLevel="1" x14ac:dyDescent="0.2"/>
    <row r="224" spans="1:7" s="28" customFormat="1" ht="15.75" customHeight="1" outlineLevel="1" x14ac:dyDescent="0.2">
      <c r="A224" s="25"/>
      <c r="B224"/>
      <c r="C224"/>
      <c r="D224"/>
      <c r="E224"/>
      <c r="F224"/>
      <c r="G224" s="26"/>
    </row>
    <row r="225" spans="1:6" ht="17.25" customHeight="1" outlineLevel="1" x14ac:dyDescent="0.2"/>
    <row r="226" spans="1:6" ht="17.25" customHeight="1" outlineLevel="1" x14ac:dyDescent="0.2"/>
    <row r="227" spans="1:6" outlineLevel="1" x14ac:dyDescent="0.2"/>
    <row r="228" spans="1:6" outlineLevel="1" x14ac:dyDescent="0.2"/>
    <row r="229" spans="1:6" ht="17.25" customHeight="1" outlineLevel="1" x14ac:dyDescent="0.2"/>
    <row r="231" spans="1:6" ht="17.25" customHeight="1" x14ac:dyDescent="0.2"/>
    <row r="232" spans="1:6" s="28" customFormat="1" x14ac:dyDescent="0.2">
      <c r="A232" s="25"/>
      <c r="B232"/>
      <c r="C232"/>
      <c r="D232"/>
      <c r="E232"/>
      <c r="F232"/>
    </row>
    <row r="233" spans="1:6" ht="20.25" customHeight="1" outlineLevel="1" x14ac:dyDescent="0.2"/>
    <row r="234" spans="1:6" outlineLevel="1" x14ac:dyDescent="0.2"/>
    <row r="235" spans="1:6" ht="33.75" customHeight="1" outlineLevel="1" x14ac:dyDescent="0.2"/>
    <row r="236" spans="1:6" outlineLevel="1" x14ac:dyDescent="0.2"/>
    <row r="237" spans="1:6" outlineLevel="1" x14ac:dyDescent="0.2"/>
    <row r="238" spans="1:6" outlineLevel="1" x14ac:dyDescent="0.2"/>
    <row r="239" spans="1:6" ht="17.45" customHeight="1" outlineLevel="1" x14ac:dyDescent="0.2"/>
    <row r="240" spans="1:6" ht="16.5" customHeight="1" outlineLevel="1" x14ac:dyDescent="0.2"/>
    <row r="241" spans="7:10" ht="17.25" customHeight="1" outlineLevel="1" x14ac:dyDescent="0.2"/>
    <row r="242" spans="7:10" outlineLevel="1" x14ac:dyDescent="0.2"/>
    <row r="243" spans="7:10" ht="18.75" customHeight="1" outlineLevel="1" x14ac:dyDescent="0.2"/>
    <row r="244" spans="7:10" outlineLevel="1" x14ac:dyDescent="0.2"/>
    <row r="245" spans="7:10" outlineLevel="1" x14ac:dyDescent="0.2"/>
    <row r="246" spans="7:10" outlineLevel="1" x14ac:dyDescent="0.2">
      <c r="G246" s="19" t="s">
        <v>412</v>
      </c>
    </row>
    <row r="247" spans="7:10" outlineLevel="1" x14ac:dyDescent="0.2"/>
    <row r="248" spans="7:10" ht="16.5" customHeight="1" outlineLevel="1" x14ac:dyDescent="0.2"/>
    <row r="249" spans="7:10" ht="16.5" customHeight="1" outlineLevel="1" x14ac:dyDescent="0.2">
      <c r="G249" s="56"/>
      <c r="H249" s="55"/>
    </row>
    <row r="250" spans="7:10" outlineLevel="1" x14ac:dyDescent="0.2">
      <c r="G250" s="32"/>
    </row>
    <row r="251" spans="7:10" outlineLevel="1" x14ac:dyDescent="0.2"/>
    <row r="252" spans="7:10" ht="17.25" customHeight="1" outlineLevel="1" x14ac:dyDescent="0.2"/>
    <row r="255" spans="7:10" ht="18.75" customHeight="1" x14ac:dyDescent="0.2">
      <c r="J255" s="57">
        <f>1000000000*35</f>
        <v>35000000000</v>
      </c>
    </row>
    <row r="256" spans="7:10" ht="21.75" customHeight="1" outlineLevel="1" x14ac:dyDescent="0.2">
      <c r="J256" s="58">
        <f>J255*0.65</f>
        <v>22750000000</v>
      </c>
    </row>
    <row r="257" spans="1:9" ht="18.399999999999999" customHeight="1" outlineLevel="1" x14ac:dyDescent="0.2"/>
    <row r="258" spans="1:9" ht="31.5" customHeight="1" outlineLevel="1" x14ac:dyDescent="0.2"/>
    <row r="259" spans="1:9" outlineLevel="1" x14ac:dyDescent="0.2">
      <c r="G259" s="53"/>
      <c r="H259"/>
    </row>
    <row r="260" spans="1:9" outlineLevel="1" x14ac:dyDescent="0.2">
      <c r="G260" s="53"/>
      <c r="H260"/>
    </row>
    <row r="261" spans="1:9" outlineLevel="1" x14ac:dyDescent="0.2">
      <c r="G261" s="53"/>
      <c r="H261"/>
    </row>
    <row r="262" spans="1:9" ht="21" customHeight="1" outlineLevel="1" x14ac:dyDescent="0.2">
      <c r="G262" s="59">
        <v>13200000</v>
      </c>
      <c r="H262"/>
    </row>
    <row r="263" spans="1:9" ht="18" customHeight="1" outlineLevel="1" x14ac:dyDescent="0.2">
      <c r="G263" s="59">
        <f>G262/1.1</f>
        <v>11999999.999999998</v>
      </c>
      <c r="H263"/>
    </row>
    <row r="264" spans="1:9" ht="16.5" customHeight="1" outlineLevel="1" x14ac:dyDescent="0.2">
      <c r="G264" s="59">
        <f>G263*0.2</f>
        <v>2399999.9999999995</v>
      </c>
      <c r="H264" s="24"/>
      <c r="I264" s="24"/>
    </row>
    <row r="265" spans="1:9" outlineLevel="1" x14ac:dyDescent="0.2">
      <c r="G265" s="53"/>
      <c r="H265" s="42"/>
      <c r="I265" s="24"/>
    </row>
    <row r="266" spans="1:9" ht="19.5" customHeight="1" outlineLevel="1" x14ac:dyDescent="0.2">
      <c r="G266" s="60"/>
      <c r="H266" s="42"/>
    </row>
    <row r="267" spans="1:9" ht="33.75" customHeight="1" outlineLevel="1" x14ac:dyDescent="0.2">
      <c r="H267" s="61"/>
    </row>
    <row r="268" spans="1:9" s="28" customFormat="1" ht="18.75" customHeight="1" outlineLevel="1" x14ac:dyDescent="0.2">
      <c r="A268" s="25"/>
      <c r="B268"/>
      <c r="C268"/>
      <c r="D268"/>
      <c r="E268"/>
      <c r="F268"/>
      <c r="G268" s="26"/>
      <c r="H268" s="40"/>
    </row>
    <row r="269" spans="1:9" outlineLevel="1" x14ac:dyDescent="0.2">
      <c r="H269" s="61"/>
    </row>
    <row r="270" spans="1:9" ht="18.75" customHeight="1" outlineLevel="1" x14ac:dyDescent="0.2">
      <c r="H270" s="28"/>
      <c r="I270" s="24"/>
    </row>
    <row r="271" spans="1:9" ht="18" customHeight="1" outlineLevel="1" x14ac:dyDescent="0.2">
      <c r="I271" s="24"/>
    </row>
    <row r="272" spans="1:9" outlineLevel="1" x14ac:dyDescent="0.2">
      <c r="I272" s="24"/>
    </row>
    <row r="273" spans="9:9" outlineLevel="1" x14ac:dyDescent="0.2">
      <c r="I273" s="24"/>
    </row>
    <row r="274" spans="9:9" outlineLevel="1" x14ac:dyDescent="0.2">
      <c r="I274" s="24"/>
    </row>
    <row r="275" spans="9:9" ht="16.5" customHeight="1" outlineLevel="1" x14ac:dyDescent="0.25">
      <c r="I275" s="62"/>
    </row>
    <row r="277" spans="9:9" ht="15" customHeight="1" x14ac:dyDescent="0.2"/>
    <row r="278" spans="9:9" ht="17.25" customHeight="1" x14ac:dyDescent="0.2"/>
    <row r="279" spans="9:9" ht="16.5" customHeight="1" outlineLevel="1" x14ac:dyDescent="0.2"/>
    <row r="280" spans="9:9" ht="18.75" customHeight="1" outlineLevel="1" x14ac:dyDescent="0.2"/>
    <row r="281" spans="9:9" ht="39" customHeight="1" outlineLevel="1" x14ac:dyDescent="0.2"/>
    <row r="282" spans="9:9" outlineLevel="1" x14ac:dyDescent="0.2"/>
    <row r="283" spans="9:9" outlineLevel="1" x14ac:dyDescent="0.2"/>
    <row r="284" spans="9:9" outlineLevel="1" x14ac:dyDescent="0.2"/>
    <row r="285" spans="9:9" ht="18.75" customHeight="1" outlineLevel="1" x14ac:dyDescent="0.2"/>
    <row r="286" spans="9:9" ht="16.5" customHeight="1" outlineLevel="1" x14ac:dyDescent="0.2"/>
    <row r="287" spans="9:9" outlineLevel="1" x14ac:dyDescent="0.2"/>
    <row r="288" spans="9:9" ht="17.25" customHeight="1" outlineLevel="1" x14ac:dyDescent="0.2"/>
    <row r="289" spans="1:8" ht="17.25" customHeight="1" outlineLevel="1" x14ac:dyDescent="0.2"/>
    <row r="290" spans="1:8" ht="30" customHeight="1" outlineLevel="1" x14ac:dyDescent="0.2"/>
    <row r="291" spans="1:8" ht="16.5" customHeight="1" outlineLevel="1" x14ac:dyDescent="0.2"/>
    <row r="292" spans="1:8" outlineLevel="1" x14ac:dyDescent="0.2"/>
    <row r="293" spans="1:8" ht="16.5" customHeight="1" outlineLevel="1" x14ac:dyDescent="0.2"/>
    <row r="294" spans="1:8" outlineLevel="1" x14ac:dyDescent="0.2"/>
    <row r="295" spans="1:8" outlineLevel="1" x14ac:dyDescent="0.2"/>
    <row r="296" spans="1:8" outlineLevel="1" x14ac:dyDescent="0.2"/>
    <row r="297" spans="1:8" outlineLevel="1" x14ac:dyDescent="0.2"/>
    <row r="298" spans="1:8" ht="16.5" customHeight="1" outlineLevel="1" x14ac:dyDescent="0.2"/>
    <row r="300" spans="1:8" ht="15.75" customHeight="1" x14ac:dyDescent="0.2">
      <c r="H300" s="60"/>
    </row>
    <row r="301" spans="1:8" ht="20.25" customHeight="1" x14ac:dyDescent="0.2">
      <c r="H301" s="60"/>
    </row>
    <row r="302" spans="1:8" ht="17.25" customHeight="1" outlineLevel="1" x14ac:dyDescent="0.2"/>
    <row r="303" spans="1:8" ht="16.5" customHeight="1" outlineLevel="1" x14ac:dyDescent="0.2"/>
    <row r="304" spans="1:8" s="53" customFormat="1" ht="36" customHeight="1" outlineLevel="1" x14ac:dyDescent="0.2">
      <c r="A304" s="55"/>
      <c r="B304"/>
      <c r="C304"/>
      <c r="D304"/>
      <c r="E304"/>
      <c r="F304"/>
    </row>
    <row r="305" spans="7:10" ht="18.75" customHeight="1" outlineLevel="1" x14ac:dyDescent="0.2"/>
    <row r="306" spans="7:10" outlineLevel="1" x14ac:dyDescent="0.2"/>
    <row r="307" spans="7:10" outlineLevel="1" x14ac:dyDescent="0.2"/>
    <row r="308" spans="7:10" ht="16.5" customHeight="1" outlineLevel="1" x14ac:dyDescent="0.2"/>
    <row r="309" spans="7:10" ht="15.75" customHeight="1" outlineLevel="1" x14ac:dyDescent="0.2"/>
    <row r="310" spans="7:10" ht="19.5" customHeight="1" outlineLevel="1" x14ac:dyDescent="0.2">
      <c r="G310" s="26"/>
      <c r="H310" s="63"/>
    </row>
    <row r="311" spans="7:10" outlineLevel="1" x14ac:dyDescent="0.2">
      <c r="G311" s="26"/>
    </row>
    <row r="312" spans="7:10" ht="17.25" customHeight="1" outlineLevel="1" x14ac:dyDescent="0.2">
      <c r="G312" s="26"/>
      <c r="H312" s="65"/>
    </row>
    <row r="313" spans="7:10" ht="33" customHeight="1" outlineLevel="1" x14ac:dyDescent="0.2">
      <c r="G313" s="23"/>
    </row>
    <row r="314" spans="7:10" ht="16.5" customHeight="1" outlineLevel="1" x14ac:dyDescent="0.2">
      <c r="G314" s="24"/>
    </row>
    <row r="315" spans="7:10" outlineLevel="1" x14ac:dyDescent="0.2">
      <c r="H315" s="60"/>
      <c r="I315" s="24"/>
      <c r="J315" s="42"/>
    </row>
    <row r="316" spans="7:10" outlineLevel="1" x14ac:dyDescent="0.2">
      <c r="H316" s="60"/>
      <c r="I316" s="24"/>
      <c r="J316" s="42"/>
    </row>
    <row r="317" spans="7:10" outlineLevel="1" x14ac:dyDescent="0.2">
      <c r="H317" s="60"/>
      <c r="I317" s="24"/>
      <c r="J317" s="42"/>
    </row>
    <row r="318" spans="7:10" outlineLevel="1" x14ac:dyDescent="0.2">
      <c r="H318" s="60"/>
      <c r="J318" s="42"/>
    </row>
    <row r="319" spans="7:10" outlineLevel="1" x14ac:dyDescent="0.2"/>
    <row r="320" spans="7:10" ht="15" customHeight="1" outlineLevel="1" x14ac:dyDescent="0.2"/>
    <row r="321" spans="8:10" ht="17.45" customHeight="1" outlineLevel="1" x14ac:dyDescent="0.2"/>
    <row r="323" spans="8:10" ht="19.5" customHeight="1" x14ac:dyDescent="0.2"/>
    <row r="324" spans="8:10" ht="18" customHeight="1" x14ac:dyDescent="0.2">
      <c r="H324" s="60"/>
      <c r="I324" s="24"/>
      <c r="J324" s="54"/>
    </row>
    <row r="325" spans="8:10" ht="16.5" customHeight="1" outlineLevel="1" x14ac:dyDescent="0.2">
      <c r="H325" s="60"/>
      <c r="I325" s="24"/>
      <c r="J325" s="24"/>
    </row>
    <row r="326" spans="8:10" ht="20.25" customHeight="1" outlineLevel="1" x14ac:dyDescent="0.2">
      <c r="H326" s="61"/>
      <c r="J326" s="42"/>
    </row>
    <row r="327" spans="8:10" outlineLevel="1" x14ac:dyDescent="0.2">
      <c r="H327" s="61"/>
    </row>
    <row r="328" spans="8:10" outlineLevel="1" x14ac:dyDescent="0.2"/>
    <row r="329" spans="8:10" outlineLevel="1" x14ac:dyDescent="0.2"/>
    <row r="330" spans="8:10" outlineLevel="1" x14ac:dyDescent="0.2"/>
    <row r="331" spans="8:10" outlineLevel="1" x14ac:dyDescent="0.2"/>
    <row r="332" spans="8:10" outlineLevel="1" x14ac:dyDescent="0.2"/>
    <row r="333" spans="8:10" ht="18.75" customHeight="1" outlineLevel="1" x14ac:dyDescent="0.2"/>
    <row r="334" spans="8:10" outlineLevel="1" x14ac:dyDescent="0.2"/>
    <row r="335" spans="8:10" outlineLevel="1" x14ac:dyDescent="0.2"/>
    <row r="336" spans="8:10" outlineLevel="1" x14ac:dyDescent="0.2"/>
    <row r="337" spans="10:10" outlineLevel="1" x14ac:dyDescent="0.2"/>
    <row r="338" spans="10:10" outlineLevel="1" x14ac:dyDescent="0.2"/>
    <row r="339" spans="10:10" outlineLevel="1" x14ac:dyDescent="0.2">
      <c r="J339" s="48">
        <f>50000000+15000000</f>
        <v>65000000</v>
      </c>
    </row>
    <row r="340" spans="10:10" ht="18" customHeight="1" outlineLevel="1" x14ac:dyDescent="0.2"/>
    <row r="341" spans="10:10" ht="18" customHeight="1" outlineLevel="1" x14ac:dyDescent="0.2"/>
    <row r="342" spans="10:10" ht="18" customHeight="1" outlineLevel="1" x14ac:dyDescent="0.2"/>
    <row r="343" spans="10:10" outlineLevel="1" x14ac:dyDescent="0.2"/>
    <row r="344" spans="10:10" ht="17.25" customHeight="1" outlineLevel="1" x14ac:dyDescent="0.2"/>
    <row r="346" spans="10:10" ht="15" customHeight="1" x14ac:dyDescent="0.2"/>
    <row r="347" spans="10:10" ht="18.75" customHeight="1" x14ac:dyDescent="0.2"/>
    <row r="348" spans="10:10" ht="17.45" customHeight="1" outlineLevel="1" x14ac:dyDescent="0.2"/>
    <row r="349" spans="10:10" ht="21" customHeight="1" outlineLevel="1" x14ac:dyDescent="0.2"/>
    <row r="350" spans="10:10" outlineLevel="1" x14ac:dyDescent="0.2"/>
    <row r="351" spans="10:10" outlineLevel="1" x14ac:dyDescent="0.2"/>
    <row r="352" spans="10:10" outlineLevel="1" x14ac:dyDescent="0.2"/>
    <row r="353" spans="1:7" outlineLevel="1" x14ac:dyDescent="0.2"/>
    <row r="354" spans="1:7" outlineLevel="1" x14ac:dyDescent="0.2"/>
    <row r="355" spans="1:7" outlineLevel="1" x14ac:dyDescent="0.2"/>
    <row r="356" spans="1:7" outlineLevel="1" x14ac:dyDescent="0.2">
      <c r="G356" s="66"/>
    </row>
    <row r="357" spans="1:7" outlineLevel="1" x14ac:dyDescent="0.2"/>
    <row r="358" spans="1:7" ht="17.25" customHeight="1" outlineLevel="1" x14ac:dyDescent="0.2"/>
    <row r="359" spans="1:7" outlineLevel="1" x14ac:dyDescent="0.2"/>
    <row r="360" spans="1:7" ht="17.25" customHeight="1" outlineLevel="1" x14ac:dyDescent="0.2"/>
    <row r="361" spans="1:7" outlineLevel="1" x14ac:dyDescent="0.2"/>
    <row r="362" spans="1:7" outlineLevel="1" x14ac:dyDescent="0.2"/>
    <row r="363" spans="1:7" ht="16.5" customHeight="1" outlineLevel="1" x14ac:dyDescent="0.2"/>
    <row r="364" spans="1:7" outlineLevel="1" x14ac:dyDescent="0.2"/>
    <row r="365" spans="1:7" outlineLevel="1" x14ac:dyDescent="0.2"/>
    <row r="366" spans="1:7" outlineLevel="1" x14ac:dyDescent="0.2"/>
    <row r="367" spans="1:7" s="28" customFormat="1" ht="18.75" customHeight="1" outlineLevel="1" x14ac:dyDescent="0.2">
      <c r="A367" s="25"/>
      <c r="B367"/>
      <c r="C367"/>
      <c r="D367"/>
      <c r="E367"/>
      <c r="F367"/>
    </row>
    <row r="369" spans="1:14" ht="15.75" customHeight="1" x14ac:dyDescent="0.2"/>
    <row r="371" spans="1:14" s="28" customFormat="1" ht="18" customHeight="1" outlineLevel="1" x14ac:dyDescent="0.2">
      <c r="A371" s="25"/>
      <c r="B371"/>
      <c r="C371"/>
      <c r="D371"/>
      <c r="E371"/>
      <c r="F371"/>
      <c r="G371" s="26" t="e">
        <f>#REF!*0.03%</f>
        <v>#REF!</v>
      </c>
    </row>
    <row r="372" spans="1:14" outlineLevel="1" x14ac:dyDescent="0.2">
      <c r="G372" s="19" t="e">
        <f>G371*0.3</f>
        <v>#REF!</v>
      </c>
    </row>
    <row r="373" spans="1:14" outlineLevel="1" x14ac:dyDescent="0.2"/>
    <row r="374" spans="1:14" outlineLevel="1" x14ac:dyDescent="0.2"/>
    <row r="375" spans="1:14" outlineLevel="1" x14ac:dyDescent="0.2"/>
    <row r="376" spans="1:14" outlineLevel="1" x14ac:dyDescent="0.2"/>
    <row r="377" spans="1:14" outlineLevel="1" x14ac:dyDescent="0.2">
      <c r="N377" s="48"/>
    </row>
    <row r="378" spans="1:14" ht="16.5" customHeight="1" outlineLevel="1" x14ac:dyDescent="0.2">
      <c r="N378" s="48">
        <f>4.5*20</f>
        <v>90</v>
      </c>
    </row>
    <row r="379" spans="1:14" outlineLevel="1" x14ac:dyDescent="0.2">
      <c r="N379" s="48">
        <f>N378*2</f>
        <v>180</v>
      </c>
    </row>
    <row r="380" spans="1:14" outlineLevel="1" x14ac:dyDescent="0.2">
      <c r="N380" s="48">
        <f>N379*5000000*0.6</f>
        <v>540000000</v>
      </c>
    </row>
    <row r="381" spans="1:14" ht="17.25" customHeight="1" outlineLevel="1" x14ac:dyDescent="0.2">
      <c r="N381" s="48">
        <v>8400000000</v>
      </c>
    </row>
    <row r="382" spans="1:14" ht="64.5" customHeight="1" outlineLevel="1" x14ac:dyDescent="0.2">
      <c r="N382" s="48">
        <f>N381*0.9</f>
        <v>7560000000</v>
      </c>
    </row>
    <row r="383" spans="1:14" outlineLevel="1" x14ac:dyDescent="0.2">
      <c r="N383" s="48">
        <f>N382-N380</f>
        <v>7020000000</v>
      </c>
    </row>
    <row r="384" spans="1:14" outlineLevel="1" x14ac:dyDescent="0.2">
      <c r="N384" s="48">
        <f>N383/(4.5*28)</f>
        <v>55714285.714285716</v>
      </c>
    </row>
    <row r="385" spans="7:14" outlineLevel="1" x14ac:dyDescent="0.2">
      <c r="G385" s="19">
        <v>2800000</v>
      </c>
      <c r="N385" s="48">
        <f>N384*(5.5*13.82)</f>
        <v>4234842857.1428576</v>
      </c>
    </row>
    <row r="386" spans="7:14" ht="18.75" customHeight="1" outlineLevel="1" x14ac:dyDescent="0.2">
      <c r="G386" s="19">
        <f>G385*1.1</f>
        <v>3080000.0000000005</v>
      </c>
      <c r="N386" s="48"/>
    </row>
    <row r="387" spans="7:14" outlineLevel="1" x14ac:dyDescent="0.2">
      <c r="J387" s="48">
        <v>1843000000</v>
      </c>
      <c r="N387" s="48"/>
    </row>
    <row r="388" spans="7:14" outlineLevel="1" x14ac:dyDescent="0.2">
      <c r="J388" s="48">
        <f>J387*0.6</f>
        <v>1105800000</v>
      </c>
      <c r="N388" s="48"/>
    </row>
    <row r="389" spans="7:14" outlineLevel="1" x14ac:dyDescent="0.2">
      <c r="N389" s="48"/>
    </row>
    <row r="390" spans="7:14" outlineLevel="1" x14ac:dyDescent="0.2">
      <c r="N390" s="48"/>
    </row>
    <row r="392" spans="7:14" ht="18" customHeight="1" x14ac:dyDescent="0.2"/>
    <row r="393" spans="7:14" ht="17.45" customHeight="1" x14ac:dyDescent="0.2"/>
    <row r="394" spans="7:14" ht="17.45" customHeight="1" outlineLevel="1" x14ac:dyDescent="0.2"/>
    <row r="395" spans="7:14" outlineLevel="1" x14ac:dyDescent="0.2"/>
    <row r="396" spans="7:14" ht="18.75" customHeight="1" outlineLevel="1" x14ac:dyDescent="0.2"/>
    <row r="397" spans="7:14" outlineLevel="1" x14ac:dyDescent="0.2"/>
    <row r="398" spans="7:14" outlineLevel="1" x14ac:dyDescent="0.2"/>
    <row r="399" spans="7:14" outlineLevel="1" x14ac:dyDescent="0.2"/>
    <row r="400" spans="7:14" ht="17.25" customHeight="1" outlineLevel="1" x14ac:dyDescent="0.2"/>
    <row r="401" ht="18" customHeight="1" outlineLevel="1" x14ac:dyDescent="0.2"/>
    <row r="402" ht="17.25" customHeight="1" outlineLevel="1" x14ac:dyDescent="0.2"/>
    <row r="403" outlineLevel="1" x14ac:dyDescent="0.2"/>
    <row r="404" ht="17.45" customHeight="1" outlineLevel="1" x14ac:dyDescent="0.2"/>
    <row r="405" outlineLevel="1" x14ac:dyDescent="0.2"/>
    <row r="406" ht="16.5" customHeight="1" outlineLevel="1" x14ac:dyDescent="0.2"/>
    <row r="407" ht="18" customHeight="1" outlineLevel="1" x14ac:dyDescent="0.2"/>
    <row r="408" outlineLevel="1" x14ac:dyDescent="0.2"/>
    <row r="409" outlineLevel="1" x14ac:dyDescent="0.2"/>
    <row r="410" outlineLevel="1" x14ac:dyDescent="0.2"/>
    <row r="411" outlineLevel="1" x14ac:dyDescent="0.2"/>
    <row r="412" outlineLevel="1" x14ac:dyDescent="0.2"/>
    <row r="413" ht="18" customHeight="1" outlineLevel="1" x14ac:dyDescent="0.2"/>
    <row r="415" ht="15" customHeight="1" x14ac:dyDescent="0.2"/>
    <row r="416" ht="18" customHeight="1" x14ac:dyDescent="0.2"/>
    <row r="417" spans="15:15" ht="18.75" customHeight="1" outlineLevel="1" x14ac:dyDescent="0.2"/>
    <row r="418" spans="15:15" outlineLevel="1" x14ac:dyDescent="0.2"/>
    <row r="419" spans="15:15" ht="18.75" customHeight="1" outlineLevel="1" x14ac:dyDescent="0.2"/>
    <row r="420" spans="15:15" outlineLevel="1" x14ac:dyDescent="0.2"/>
    <row r="421" spans="15:15" outlineLevel="1" x14ac:dyDescent="0.2"/>
    <row r="422" spans="15:15" outlineLevel="1" x14ac:dyDescent="0.2"/>
    <row r="423" spans="15:15" ht="18.75" customHeight="1" outlineLevel="1" x14ac:dyDescent="0.2"/>
    <row r="424" spans="15:15" ht="18" customHeight="1" outlineLevel="1" x14ac:dyDescent="0.2"/>
    <row r="425" spans="15:15" outlineLevel="1" x14ac:dyDescent="0.2">
      <c r="O425" s="48">
        <v>24773705000</v>
      </c>
    </row>
    <row r="426" spans="15:15" outlineLevel="1" x14ac:dyDescent="0.2">
      <c r="O426" s="48">
        <v>17854690000</v>
      </c>
    </row>
    <row r="427" spans="15:15" ht="20.25" customHeight="1" outlineLevel="1" x14ac:dyDescent="0.2">
      <c r="O427" s="48">
        <v>9297964000</v>
      </c>
    </row>
    <row r="428" spans="15:15" ht="33.75" customHeight="1" outlineLevel="1" x14ac:dyDescent="0.2">
      <c r="O428" s="57">
        <v>5959270000</v>
      </c>
    </row>
    <row r="429" spans="15:15" ht="16.5" customHeight="1" outlineLevel="1" x14ac:dyDescent="0.2">
      <c r="O429" s="48">
        <v>4926166000</v>
      </c>
    </row>
    <row r="430" spans="15:15" outlineLevel="1" x14ac:dyDescent="0.2">
      <c r="O430" s="48">
        <f>SUM(O425:O429)</f>
        <v>62811795000</v>
      </c>
    </row>
    <row r="431" spans="15:15" ht="16.5" customHeight="1" outlineLevel="1" x14ac:dyDescent="0.2">
      <c r="O431" s="48"/>
    </row>
    <row r="432" spans="15:15" ht="18.75" customHeight="1" outlineLevel="1" x14ac:dyDescent="0.2"/>
    <row r="433" spans="1:6" outlineLevel="1" x14ac:dyDescent="0.2"/>
    <row r="434" spans="1:6" outlineLevel="1" x14ac:dyDescent="0.2"/>
    <row r="435" spans="1:6" outlineLevel="1" x14ac:dyDescent="0.2"/>
    <row r="436" spans="1:6" ht="18" customHeight="1" outlineLevel="1" x14ac:dyDescent="0.2"/>
    <row r="438" spans="1:6" ht="19.5" customHeight="1" x14ac:dyDescent="0.2"/>
    <row r="439" spans="1:6" s="28" customFormat="1" ht="18.75" customHeight="1" x14ac:dyDescent="0.2">
      <c r="A439" s="25"/>
      <c r="B439"/>
      <c r="C439"/>
      <c r="D439"/>
      <c r="E439"/>
      <c r="F439"/>
    </row>
    <row r="440" spans="1:6" ht="18" customHeight="1" outlineLevel="1" x14ac:dyDescent="0.2"/>
    <row r="441" spans="1:6" ht="18.75" customHeight="1" outlineLevel="1" x14ac:dyDescent="0.2"/>
    <row r="442" spans="1:6" outlineLevel="1" x14ac:dyDescent="0.2"/>
    <row r="443" spans="1:6" ht="18.75" customHeight="1" outlineLevel="1" x14ac:dyDescent="0.2"/>
    <row r="444" spans="1:6" ht="18.75" customHeight="1" outlineLevel="1" x14ac:dyDescent="0.2"/>
    <row r="445" spans="1:6" ht="18.75" customHeight="1" outlineLevel="1" x14ac:dyDescent="0.2"/>
    <row r="446" spans="1:6" ht="19.5" customHeight="1" outlineLevel="1" x14ac:dyDescent="0.2"/>
    <row r="447" spans="1:6" ht="16.5" customHeight="1" outlineLevel="1" x14ac:dyDescent="0.2"/>
    <row r="448" spans="1:6" outlineLevel="1" x14ac:dyDescent="0.2"/>
    <row r="449" spans="1:9" ht="18.75" customHeight="1" outlineLevel="1" x14ac:dyDescent="0.2"/>
    <row r="450" spans="1:9" ht="19.5" customHeight="1" outlineLevel="1" x14ac:dyDescent="0.2"/>
    <row r="451" spans="1:9" ht="63" customHeight="1" outlineLevel="1" x14ac:dyDescent="0.2">
      <c r="I451" s="48"/>
    </row>
    <row r="452" spans="1:9" s="28" customFormat="1" ht="18" customHeight="1" outlineLevel="1" x14ac:dyDescent="0.2">
      <c r="A452" s="25"/>
      <c r="B452"/>
      <c r="C452"/>
      <c r="D452"/>
      <c r="E452"/>
      <c r="F452"/>
      <c r="G452" s="26"/>
      <c r="I452" s="57"/>
    </row>
    <row r="453" spans="1:9" outlineLevel="1" x14ac:dyDescent="0.2">
      <c r="I453" s="48"/>
    </row>
    <row r="454" spans="1:9" ht="18.75" customHeight="1" outlineLevel="1" x14ac:dyDescent="0.2"/>
    <row r="455" spans="1:9" ht="18.75" customHeight="1" outlineLevel="1" x14ac:dyDescent="0.2"/>
    <row r="456" spans="1:9" ht="18.75" customHeight="1" outlineLevel="1" x14ac:dyDescent="0.2"/>
    <row r="457" spans="1:9" ht="18.75" customHeight="1" outlineLevel="1" x14ac:dyDescent="0.2"/>
    <row r="458" spans="1:9" ht="18" customHeight="1" outlineLevel="1" x14ac:dyDescent="0.2"/>
    <row r="459" spans="1:9" ht="18" customHeight="1" outlineLevel="1" x14ac:dyDescent="0.2"/>
    <row r="461" spans="1:9" ht="21" customHeight="1" x14ac:dyDescent="0.2"/>
    <row r="462" spans="1:9" ht="20.25" customHeight="1" x14ac:dyDescent="0.2"/>
    <row r="463" spans="1:9" ht="16.5" customHeight="1" outlineLevel="1" x14ac:dyDescent="0.2"/>
    <row r="464" spans="1:9" ht="18" customHeight="1" outlineLevel="1" x14ac:dyDescent="0.2"/>
    <row r="465" spans="8:8" ht="18" customHeight="1" outlineLevel="1" x14ac:dyDescent="0.2"/>
    <row r="466" spans="8:8" ht="17.25" customHeight="1" outlineLevel="1" x14ac:dyDescent="0.2"/>
    <row r="467" spans="8:8" outlineLevel="1" x14ac:dyDescent="0.2"/>
    <row r="468" spans="8:8" outlineLevel="1" x14ac:dyDescent="0.2"/>
    <row r="469" spans="8:8" ht="17.45" customHeight="1" outlineLevel="1" x14ac:dyDescent="0.2"/>
    <row r="470" spans="8:8" ht="16.5" customHeight="1" outlineLevel="1" x14ac:dyDescent="0.2"/>
    <row r="471" spans="8:8" ht="16.5" customHeight="1" outlineLevel="1" x14ac:dyDescent="0.2"/>
    <row r="472" spans="8:8" outlineLevel="1" x14ac:dyDescent="0.2"/>
    <row r="473" spans="8:8" ht="19.5" customHeight="1" outlineLevel="1" x14ac:dyDescent="0.2"/>
    <row r="474" spans="8:8" ht="36.75" customHeight="1" outlineLevel="1" x14ac:dyDescent="0.2">
      <c r="H474" s="65"/>
    </row>
    <row r="475" spans="8:8" ht="15.75" customHeight="1" outlineLevel="1" x14ac:dyDescent="0.2">
      <c r="H475" s="65"/>
    </row>
    <row r="476" spans="8:8" outlineLevel="1" x14ac:dyDescent="0.2">
      <c r="H476" s="65"/>
    </row>
    <row r="477" spans="8:8" ht="16.5" customHeight="1" outlineLevel="1" x14ac:dyDescent="0.2">
      <c r="H477" s="59"/>
    </row>
    <row r="478" spans="8:8" outlineLevel="1" x14ac:dyDescent="0.2"/>
    <row r="479" spans="8:8" outlineLevel="1" x14ac:dyDescent="0.2"/>
    <row r="480" spans="8:8" outlineLevel="1" x14ac:dyDescent="0.2"/>
    <row r="481" spans="1:7" outlineLevel="1" x14ac:dyDescent="0.2"/>
    <row r="482" spans="1:7" outlineLevel="1" x14ac:dyDescent="0.2"/>
    <row r="484" spans="1:7" ht="15" customHeight="1" x14ac:dyDescent="0.2">
      <c r="G484" s="28"/>
    </row>
    <row r="485" spans="1:7" s="28" customFormat="1" ht="17.45" customHeight="1" x14ac:dyDescent="0.2">
      <c r="A485" s="25"/>
      <c r="B485"/>
      <c r="C485"/>
      <c r="D485"/>
      <c r="E485"/>
      <c r="F485"/>
    </row>
    <row r="486" spans="1:7" ht="17.45" customHeight="1" outlineLevel="1" x14ac:dyDescent="0.2"/>
    <row r="487" spans="1:7" outlineLevel="1" x14ac:dyDescent="0.2"/>
    <row r="488" spans="1:7" ht="17.25" customHeight="1" outlineLevel="1" x14ac:dyDescent="0.2"/>
    <row r="489" spans="1:7" outlineLevel="1" x14ac:dyDescent="0.2"/>
    <row r="490" spans="1:7" outlineLevel="1" x14ac:dyDescent="0.2"/>
    <row r="491" spans="1:7" outlineLevel="1" x14ac:dyDescent="0.2"/>
    <row r="492" spans="1:7" outlineLevel="1" x14ac:dyDescent="0.2"/>
    <row r="493" spans="1:7" outlineLevel="1" x14ac:dyDescent="0.2"/>
    <row r="494" spans="1:7" ht="17.25" customHeight="1" outlineLevel="1" x14ac:dyDescent="0.2"/>
    <row r="495" spans="1:7" outlineLevel="1" x14ac:dyDescent="0.2"/>
    <row r="496" spans="1:7" ht="18.75" customHeight="1" outlineLevel="1" x14ac:dyDescent="0.2"/>
    <row r="497" outlineLevel="1" x14ac:dyDescent="0.2"/>
    <row r="498" ht="17.25" customHeight="1" outlineLevel="1" x14ac:dyDescent="0.2"/>
    <row r="499" ht="15.75" customHeight="1" outlineLevel="1" x14ac:dyDescent="0.2"/>
    <row r="500" outlineLevel="1" x14ac:dyDescent="0.2"/>
    <row r="501" ht="18" customHeight="1" outlineLevel="1" x14ac:dyDescent="0.2"/>
    <row r="502" outlineLevel="1" x14ac:dyDescent="0.2"/>
    <row r="503" outlineLevel="1" x14ac:dyDescent="0.2"/>
    <row r="504" outlineLevel="1" x14ac:dyDescent="0.2"/>
    <row r="505" outlineLevel="1" x14ac:dyDescent="0.2"/>
    <row r="507" ht="15" customHeight="1" x14ac:dyDescent="0.2"/>
    <row r="509" ht="20.25" customHeight="1" outlineLevel="1" x14ac:dyDescent="0.2"/>
    <row r="510" outlineLevel="1" x14ac:dyDescent="0.2"/>
    <row r="511" ht="46.5" customHeight="1" outlineLevel="1" x14ac:dyDescent="0.2"/>
    <row r="512" outlineLevel="1" x14ac:dyDescent="0.2"/>
    <row r="513" spans="7:7" ht="18" customHeight="1" outlineLevel="1" x14ac:dyDescent="0.2">
      <c r="G513" s="26"/>
    </row>
    <row r="514" spans="7:7" outlineLevel="1" x14ac:dyDescent="0.2"/>
    <row r="515" spans="7:7" ht="18" customHeight="1" outlineLevel="1" x14ac:dyDescent="0.2"/>
    <row r="516" spans="7:7" ht="16.5" customHeight="1" outlineLevel="1" x14ac:dyDescent="0.2"/>
    <row r="517" spans="7:7" ht="16.5" customHeight="1" outlineLevel="1" x14ac:dyDescent="0.2"/>
    <row r="518" spans="7:7" outlineLevel="1" x14ac:dyDescent="0.2"/>
    <row r="519" spans="7:7" ht="18" customHeight="1" outlineLevel="1" x14ac:dyDescent="0.2"/>
    <row r="520" spans="7:7" ht="48.75" customHeight="1" outlineLevel="1" x14ac:dyDescent="0.2"/>
    <row r="521" spans="7:7" outlineLevel="1" x14ac:dyDescent="0.2"/>
    <row r="522" spans="7:7" outlineLevel="1" x14ac:dyDescent="0.2"/>
    <row r="523" spans="7:7" outlineLevel="1" x14ac:dyDescent="0.2"/>
    <row r="524" spans="7:7" ht="17.25" customHeight="1" outlineLevel="1" x14ac:dyDescent="0.2"/>
    <row r="525" spans="7:7" ht="15.75" customHeight="1" outlineLevel="1" x14ac:dyDescent="0.2"/>
    <row r="526" spans="7:7" outlineLevel="1" x14ac:dyDescent="0.2"/>
    <row r="527" spans="7:7" outlineLevel="1" x14ac:dyDescent="0.2"/>
    <row r="528" spans="7:7" ht="18" customHeight="1" outlineLevel="1" x14ac:dyDescent="0.2"/>
    <row r="530" spans="8:10" ht="15" customHeight="1" x14ac:dyDescent="0.2"/>
    <row r="531" spans="8:10" ht="18.75" customHeight="1" x14ac:dyDescent="0.2"/>
    <row r="532" spans="8:10" ht="16.5" customHeight="1" outlineLevel="1" x14ac:dyDescent="0.2"/>
    <row r="533" spans="8:10" outlineLevel="1" x14ac:dyDescent="0.2"/>
    <row r="534" spans="8:10" outlineLevel="1" x14ac:dyDescent="0.2">
      <c r="H534" s="23"/>
      <c r="I534" s="23"/>
      <c r="J534" s="23"/>
    </row>
    <row r="535" spans="8:10" outlineLevel="1" x14ac:dyDescent="0.2">
      <c r="H535" s="23"/>
      <c r="I535" s="23"/>
      <c r="J535" s="23"/>
    </row>
    <row r="536" spans="8:10" outlineLevel="1" x14ac:dyDescent="0.2">
      <c r="H536" s="23"/>
      <c r="I536" s="23"/>
      <c r="J536" s="23"/>
    </row>
    <row r="537" spans="8:10" outlineLevel="1" x14ac:dyDescent="0.2"/>
    <row r="538" spans="8:10" outlineLevel="1" x14ac:dyDescent="0.2"/>
    <row r="539" spans="8:10" ht="15.75" customHeight="1" outlineLevel="1" x14ac:dyDescent="0.2"/>
    <row r="540" spans="8:10" outlineLevel="1" x14ac:dyDescent="0.2"/>
    <row r="541" spans="8:10" outlineLevel="1" x14ac:dyDescent="0.2">
      <c r="H541"/>
    </row>
    <row r="542" spans="8:10" ht="19.5" customHeight="1" outlineLevel="1" x14ac:dyDescent="0.2"/>
    <row r="543" spans="8:10" ht="37.5" customHeight="1" outlineLevel="1" x14ac:dyDescent="0.2"/>
    <row r="544" spans="8:10" ht="16.5" customHeight="1" outlineLevel="1" x14ac:dyDescent="0.2"/>
    <row r="545" spans="1:9" outlineLevel="1" x14ac:dyDescent="0.2"/>
    <row r="546" spans="1:9" outlineLevel="1" x14ac:dyDescent="0.2"/>
    <row r="547" spans="1:9" outlineLevel="1" x14ac:dyDescent="0.2"/>
    <row r="548" spans="1:9" outlineLevel="1" x14ac:dyDescent="0.2"/>
    <row r="549" spans="1:9" outlineLevel="1" x14ac:dyDescent="0.2"/>
    <row r="550" spans="1:9" outlineLevel="1" x14ac:dyDescent="0.2"/>
    <row r="551" spans="1:9" ht="15" customHeight="1" outlineLevel="1" x14ac:dyDescent="0.2"/>
    <row r="553" spans="1:9" ht="15" customHeight="1" x14ac:dyDescent="0.2"/>
    <row r="554" spans="1:9" ht="20.25" customHeight="1" x14ac:dyDescent="0.2"/>
    <row r="555" spans="1:9" ht="18.75" customHeight="1" outlineLevel="1" x14ac:dyDescent="0.2"/>
    <row r="556" spans="1:9" outlineLevel="1" x14ac:dyDescent="0.2"/>
    <row r="557" spans="1:9" s="53" customFormat="1" outlineLevel="1" x14ac:dyDescent="0.2">
      <c r="A557" s="55"/>
      <c r="B557"/>
      <c r="C557"/>
      <c r="D557"/>
      <c r="E557"/>
      <c r="F557"/>
    </row>
    <row r="558" spans="1:9" outlineLevel="1" x14ac:dyDescent="0.2">
      <c r="I558">
        <v>4320</v>
      </c>
    </row>
    <row r="559" spans="1:9" outlineLevel="1" x14ac:dyDescent="0.2">
      <c r="I559">
        <v>3780</v>
      </c>
    </row>
    <row r="560" spans="1:9" outlineLevel="1" x14ac:dyDescent="0.2">
      <c r="I560">
        <v>540</v>
      </c>
    </row>
    <row r="561" spans="9:9" ht="18" customHeight="1" outlineLevel="1" x14ac:dyDescent="0.2">
      <c r="I561">
        <v>1500</v>
      </c>
    </row>
    <row r="562" spans="9:9" outlineLevel="1" x14ac:dyDescent="0.2"/>
    <row r="563" spans="9:9" ht="18.75" customHeight="1" outlineLevel="1" x14ac:dyDescent="0.2"/>
    <row r="564" spans="9:9" outlineLevel="1" x14ac:dyDescent="0.2"/>
    <row r="565" spans="9:9" ht="18" customHeight="1" outlineLevel="1" x14ac:dyDescent="0.2"/>
    <row r="566" spans="9:9" ht="36.75" customHeight="1" outlineLevel="1" x14ac:dyDescent="0.2"/>
    <row r="567" spans="9:9" ht="17.45" customHeight="1" outlineLevel="1" x14ac:dyDescent="0.2"/>
    <row r="568" spans="9:9" outlineLevel="1" x14ac:dyDescent="0.2"/>
    <row r="569" spans="9:9" outlineLevel="1" x14ac:dyDescent="0.2"/>
    <row r="570" spans="9:9" ht="17.25" customHeight="1" outlineLevel="1" x14ac:dyDescent="0.2"/>
    <row r="571" spans="9:9" outlineLevel="1" x14ac:dyDescent="0.2"/>
    <row r="572" spans="9:9" outlineLevel="1" x14ac:dyDescent="0.2"/>
    <row r="573" spans="9:9" outlineLevel="1" x14ac:dyDescent="0.2"/>
    <row r="574" spans="9:9" ht="15" customHeight="1" outlineLevel="1" x14ac:dyDescent="0.2"/>
    <row r="576" spans="9:9" ht="15" customHeight="1" x14ac:dyDescent="0.2"/>
    <row r="577" spans="8:8" ht="21.75" customHeight="1" x14ac:dyDescent="0.2"/>
    <row r="578" spans="8:8" outlineLevel="1" x14ac:dyDescent="0.2"/>
    <row r="579" spans="8:8" ht="18.75" customHeight="1" outlineLevel="1" x14ac:dyDescent="0.2"/>
    <row r="580" spans="8:8" ht="15.75" customHeight="1" outlineLevel="1" x14ac:dyDescent="0.2"/>
    <row r="581" spans="8:8" outlineLevel="1" x14ac:dyDescent="0.2"/>
    <row r="582" spans="8:8" outlineLevel="1" x14ac:dyDescent="0.2"/>
    <row r="583" spans="8:8" outlineLevel="1" x14ac:dyDescent="0.2"/>
    <row r="584" spans="8:8" ht="17.25" customHeight="1" outlineLevel="1" x14ac:dyDescent="0.2"/>
    <row r="585" spans="8:8" ht="15.75" customHeight="1" outlineLevel="1" x14ac:dyDescent="0.2"/>
    <row r="586" spans="8:8" ht="17.25" customHeight="1" outlineLevel="1" x14ac:dyDescent="0.2"/>
    <row r="587" spans="8:8" outlineLevel="1" x14ac:dyDescent="0.2"/>
    <row r="588" spans="8:8" ht="18" customHeight="1" outlineLevel="1" x14ac:dyDescent="0.2"/>
    <row r="589" spans="8:8" ht="32.25" customHeight="1" outlineLevel="1" x14ac:dyDescent="0.2"/>
    <row r="590" spans="8:8" ht="16.5" customHeight="1" outlineLevel="1" x14ac:dyDescent="0.2">
      <c r="H590" s="59"/>
    </row>
    <row r="591" spans="8:8" outlineLevel="1" x14ac:dyDescent="0.2">
      <c r="H591" s="59"/>
    </row>
    <row r="592" spans="8:8" outlineLevel="1" x14ac:dyDescent="0.2">
      <c r="H592" s="59"/>
    </row>
    <row r="593" spans="7:8" ht="17.25" customHeight="1" outlineLevel="1" x14ac:dyDescent="0.2">
      <c r="H593" s="59"/>
    </row>
    <row r="594" spans="7:8" ht="17.25" customHeight="1" outlineLevel="1" x14ac:dyDescent="0.2"/>
    <row r="595" spans="7:8" outlineLevel="1" x14ac:dyDescent="0.2"/>
    <row r="596" spans="7:8" outlineLevel="1" x14ac:dyDescent="0.2"/>
    <row r="597" spans="7:8" ht="17.45" customHeight="1" outlineLevel="1" x14ac:dyDescent="0.2"/>
    <row r="599" spans="7:8" ht="15" customHeight="1" x14ac:dyDescent="0.2"/>
    <row r="600" spans="7:8" ht="18" customHeight="1" x14ac:dyDescent="0.2"/>
    <row r="601" spans="7:8" ht="18.75" customHeight="1" outlineLevel="1" x14ac:dyDescent="0.2"/>
    <row r="602" spans="7:8" ht="18.75" customHeight="1" outlineLevel="1" x14ac:dyDescent="0.2"/>
    <row r="603" spans="7:8" outlineLevel="1" x14ac:dyDescent="0.2"/>
    <row r="604" spans="7:8" outlineLevel="1" x14ac:dyDescent="0.2"/>
    <row r="605" spans="7:8" outlineLevel="1" x14ac:dyDescent="0.2"/>
    <row r="606" spans="7:8" outlineLevel="1" x14ac:dyDescent="0.2"/>
    <row r="607" spans="7:8" ht="18" customHeight="1" outlineLevel="1" x14ac:dyDescent="0.2"/>
    <row r="608" spans="7:8" ht="17.25" customHeight="1" outlineLevel="1" x14ac:dyDescent="0.2">
      <c r="G608" s="66"/>
      <c r="H608" s="25"/>
    </row>
    <row r="609" outlineLevel="1" x14ac:dyDescent="0.2"/>
    <row r="610" outlineLevel="1" x14ac:dyDescent="0.2"/>
    <row r="611" ht="17.45" customHeight="1" outlineLevel="1" x14ac:dyDescent="0.2"/>
    <row r="612" outlineLevel="1" x14ac:dyDescent="0.2"/>
    <row r="613" outlineLevel="1" x14ac:dyDescent="0.2"/>
    <row r="614" outlineLevel="1" x14ac:dyDescent="0.2"/>
    <row r="615" outlineLevel="1" x14ac:dyDescent="0.2"/>
    <row r="616" outlineLevel="1" x14ac:dyDescent="0.2"/>
    <row r="617" outlineLevel="1" x14ac:dyDescent="0.2"/>
    <row r="618" outlineLevel="1" x14ac:dyDescent="0.2"/>
    <row r="619" outlineLevel="1" x14ac:dyDescent="0.2"/>
    <row r="620" ht="17.45" customHeight="1" outlineLevel="1" x14ac:dyDescent="0.2"/>
    <row r="622" ht="15" customHeight="1" x14ac:dyDescent="0.2"/>
    <row r="623" ht="20.25" customHeight="1" x14ac:dyDescent="0.2"/>
    <row r="624" ht="18.75" customHeight="1" outlineLevel="1" x14ac:dyDescent="0.2"/>
    <row r="625" ht="18.75" customHeight="1" outlineLevel="1" x14ac:dyDescent="0.2"/>
    <row r="626" outlineLevel="1" x14ac:dyDescent="0.2"/>
    <row r="627" outlineLevel="1" x14ac:dyDescent="0.2"/>
    <row r="628" ht="18.75" customHeight="1" outlineLevel="1" x14ac:dyDescent="0.2"/>
    <row r="629" ht="17.25" customHeight="1" outlineLevel="1" x14ac:dyDescent="0.2"/>
    <row r="630" ht="17.25" customHeight="1" outlineLevel="1" x14ac:dyDescent="0.2"/>
    <row r="631" outlineLevel="1" x14ac:dyDescent="0.2"/>
    <row r="632" outlineLevel="1" x14ac:dyDescent="0.2"/>
    <row r="633" outlineLevel="1" x14ac:dyDescent="0.2"/>
    <row r="634" ht="21" customHeight="1" outlineLevel="1" x14ac:dyDescent="0.2"/>
    <row r="635" ht="36.75" customHeight="1" outlineLevel="1" x14ac:dyDescent="0.2"/>
    <row r="636" outlineLevel="1" x14ac:dyDescent="0.2"/>
    <row r="637" outlineLevel="1" x14ac:dyDescent="0.2"/>
    <row r="638" outlineLevel="1" x14ac:dyDescent="0.2"/>
    <row r="639" outlineLevel="1" x14ac:dyDescent="0.2"/>
    <row r="640" outlineLevel="1" x14ac:dyDescent="0.2"/>
    <row r="641" outlineLevel="1" x14ac:dyDescent="0.2"/>
    <row r="642" outlineLevel="1" x14ac:dyDescent="0.2"/>
    <row r="643" outlineLevel="1" x14ac:dyDescent="0.2"/>
    <row r="645" ht="15" customHeight="1" x14ac:dyDescent="0.2"/>
    <row r="646" ht="17.45" customHeight="1" x14ac:dyDescent="0.2"/>
    <row r="647" outlineLevel="1" x14ac:dyDescent="0.2"/>
    <row r="648" outlineLevel="1" x14ac:dyDescent="0.2"/>
    <row r="649" ht="19.5" customHeight="1" outlineLevel="1" x14ac:dyDescent="0.2"/>
    <row r="650" outlineLevel="1" x14ac:dyDescent="0.2"/>
    <row r="651" outlineLevel="1" x14ac:dyDescent="0.2"/>
    <row r="652" outlineLevel="1" x14ac:dyDescent="0.2"/>
    <row r="653" ht="20.25" customHeight="1" outlineLevel="1" x14ac:dyDescent="0.2"/>
    <row r="654" outlineLevel="1" x14ac:dyDescent="0.2"/>
    <row r="655" outlineLevel="1" x14ac:dyDescent="0.2"/>
    <row r="656" outlineLevel="1" x14ac:dyDescent="0.2"/>
    <row r="657" ht="19.5" customHeight="1" outlineLevel="1" x14ac:dyDescent="0.2"/>
    <row r="658" outlineLevel="1" x14ac:dyDescent="0.2"/>
    <row r="659" ht="18.75" customHeight="1" outlineLevel="1" x14ac:dyDescent="0.2"/>
    <row r="660" outlineLevel="1" x14ac:dyDescent="0.2"/>
    <row r="661" outlineLevel="1" x14ac:dyDescent="0.2"/>
    <row r="662" outlineLevel="1" x14ac:dyDescent="0.2"/>
    <row r="663" outlineLevel="1" x14ac:dyDescent="0.2"/>
    <row r="664" outlineLevel="1" x14ac:dyDescent="0.2"/>
    <row r="665" outlineLevel="1" x14ac:dyDescent="0.2"/>
    <row r="666" ht="15" customHeight="1" outlineLevel="1" x14ac:dyDescent="0.2"/>
    <row r="668" ht="15" customHeight="1" x14ac:dyDescent="0.2"/>
    <row r="670" ht="15.75" customHeight="1" outlineLevel="1" x14ac:dyDescent="0.2"/>
    <row r="671" outlineLevel="1" x14ac:dyDescent="0.2"/>
    <row r="672" outlineLevel="1" x14ac:dyDescent="0.2"/>
    <row r="673" outlineLevel="1" x14ac:dyDescent="0.2"/>
    <row r="674" outlineLevel="1" x14ac:dyDescent="0.2"/>
    <row r="675" outlineLevel="1" x14ac:dyDescent="0.2"/>
    <row r="676" ht="16.5" customHeight="1" outlineLevel="1" x14ac:dyDescent="0.2"/>
    <row r="677" ht="16.5" customHeight="1" outlineLevel="1" x14ac:dyDescent="0.2"/>
    <row r="678" outlineLevel="1" x14ac:dyDescent="0.2"/>
    <row r="679" ht="16.5" customHeight="1" outlineLevel="1" x14ac:dyDescent="0.2"/>
    <row r="680" ht="18" customHeight="1" outlineLevel="1" x14ac:dyDescent="0.2"/>
    <row r="681" ht="32.25" customHeight="1" outlineLevel="1" x14ac:dyDescent="0.2"/>
    <row r="682" outlineLevel="1" x14ac:dyDescent="0.2"/>
    <row r="683" outlineLevel="1" x14ac:dyDescent="0.2"/>
    <row r="684" outlineLevel="1" x14ac:dyDescent="0.2"/>
    <row r="685" outlineLevel="1" x14ac:dyDescent="0.2"/>
    <row r="686" outlineLevel="1" x14ac:dyDescent="0.2"/>
    <row r="687" outlineLevel="1" x14ac:dyDescent="0.2"/>
    <row r="688" outlineLevel="1" x14ac:dyDescent="0.2"/>
    <row r="689" spans="1:8" outlineLevel="1" x14ac:dyDescent="0.2"/>
    <row r="692" spans="1:8" ht="19.5" customHeight="1" x14ac:dyDescent="0.2"/>
    <row r="693" spans="1:8" s="28" customFormat="1" ht="18" customHeight="1" outlineLevel="1" x14ac:dyDescent="0.2">
      <c r="A693" s="25"/>
      <c r="B693"/>
      <c r="C693"/>
      <c r="D693"/>
      <c r="E693"/>
      <c r="F693"/>
      <c r="G693" s="26"/>
    </row>
    <row r="694" spans="1:8" ht="18.75" customHeight="1" outlineLevel="1" x14ac:dyDescent="0.2">
      <c r="G694" s="19">
        <v>3500000</v>
      </c>
      <c r="H694" s="65">
        <f>G694*0.85</f>
        <v>2975000</v>
      </c>
    </row>
    <row r="695" spans="1:8" outlineLevel="1" x14ac:dyDescent="0.2">
      <c r="G695" s="19">
        <f>G694*1.1</f>
        <v>3850000.0000000005</v>
      </c>
      <c r="H695" s="65">
        <f>H694*1.1</f>
        <v>3272500.0000000005</v>
      </c>
    </row>
    <row r="696" spans="1:8" outlineLevel="1" x14ac:dyDescent="0.2"/>
    <row r="697" spans="1:8" outlineLevel="1" x14ac:dyDescent="0.2"/>
    <row r="698" spans="1:8" outlineLevel="1" x14ac:dyDescent="0.2"/>
    <row r="699" spans="1:8" ht="16.5" customHeight="1" outlineLevel="1" x14ac:dyDescent="0.2"/>
    <row r="700" spans="1:8" outlineLevel="1" x14ac:dyDescent="0.2"/>
    <row r="701" spans="1:8" ht="33" customHeight="1" outlineLevel="1" x14ac:dyDescent="0.2"/>
    <row r="702" spans="1:8" outlineLevel="1" x14ac:dyDescent="0.2"/>
    <row r="703" spans="1:8" ht="17.25" customHeight="1" outlineLevel="1" x14ac:dyDescent="0.2"/>
    <row r="704" spans="1:8" ht="17.25" customHeight="1" outlineLevel="1" x14ac:dyDescent="0.2"/>
    <row r="705" outlineLevel="1" x14ac:dyDescent="0.2"/>
    <row r="706" outlineLevel="1" x14ac:dyDescent="0.2"/>
    <row r="707" outlineLevel="1" x14ac:dyDescent="0.2"/>
    <row r="708" outlineLevel="1" x14ac:dyDescent="0.2"/>
    <row r="709" outlineLevel="1" x14ac:dyDescent="0.2"/>
    <row r="710" outlineLevel="1" x14ac:dyDescent="0.2"/>
    <row r="711" outlineLevel="1" x14ac:dyDescent="0.2"/>
    <row r="712" ht="15" customHeight="1" outlineLevel="1" x14ac:dyDescent="0.2"/>
    <row r="716" outlineLevel="1" x14ac:dyDescent="0.2"/>
    <row r="717" outlineLevel="1" x14ac:dyDescent="0.2"/>
    <row r="718" outlineLevel="1" x14ac:dyDescent="0.2"/>
    <row r="719" outlineLevel="1" x14ac:dyDescent="0.2"/>
    <row r="720" outlineLevel="1" x14ac:dyDescent="0.2"/>
    <row r="721" outlineLevel="1" x14ac:dyDescent="0.2"/>
    <row r="722" ht="19.5" customHeight="1" outlineLevel="1" x14ac:dyDescent="0.2"/>
    <row r="723" ht="18" customHeight="1" outlineLevel="1" x14ac:dyDescent="0.2"/>
    <row r="724" ht="20.25" customHeight="1" outlineLevel="1" x14ac:dyDescent="0.2"/>
    <row r="725" outlineLevel="1" x14ac:dyDescent="0.2"/>
    <row r="726" ht="18.75" customHeight="1" outlineLevel="1" x14ac:dyDescent="0.2"/>
    <row r="727" ht="20.25" customHeight="1" outlineLevel="1" x14ac:dyDescent="0.2"/>
    <row r="728" outlineLevel="1" x14ac:dyDescent="0.2"/>
    <row r="729" outlineLevel="1" x14ac:dyDescent="0.2"/>
    <row r="730" ht="17.25" customHeight="1" outlineLevel="1" x14ac:dyDescent="0.2"/>
    <row r="731" ht="18" customHeight="1" outlineLevel="1" x14ac:dyDescent="0.2"/>
    <row r="732" ht="18" customHeight="1" outlineLevel="1" x14ac:dyDescent="0.2"/>
    <row r="733" outlineLevel="1" x14ac:dyDescent="0.2"/>
    <row r="734" outlineLevel="1" x14ac:dyDescent="0.2"/>
    <row r="735" ht="18" customHeight="1" outlineLevel="1" x14ac:dyDescent="0.2"/>
    <row r="738" ht="18.75" customHeight="1" x14ac:dyDescent="0.2"/>
    <row r="739" ht="18" customHeight="1" outlineLevel="1" x14ac:dyDescent="0.2"/>
    <row r="740" ht="16.5" customHeight="1" outlineLevel="1" x14ac:dyDescent="0.2"/>
    <row r="741" ht="37.5" customHeight="1" outlineLevel="1" x14ac:dyDescent="0.2"/>
    <row r="742" outlineLevel="1" x14ac:dyDescent="0.2"/>
    <row r="743" outlineLevel="1" x14ac:dyDescent="0.2"/>
    <row r="744" outlineLevel="1" x14ac:dyDescent="0.2"/>
    <row r="745" ht="17.25" customHeight="1" outlineLevel="1" x14ac:dyDescent="0.2"/>
    <row r="746" ht="19.5" customHeight="1" outlineLevel="1" x14ac:dyDescent="0.2"/>
    <row r="747" ht="19.5" customHeight="1" outlineLevel="1" x14ac:dyDescent="0.2"/>
    <row r="748" outlineLevel="1" x14ac:dyDescent="0.2"/>
    <row r="749" ht="22.5" customHeight="1" outlineLevel="1" x14ac:dyDescent="0.2"/>
    <row r="750" ht="35.25" customHeight="1" outlineLevel="1" x14ac:dyDescent="0.2"/>
    <row r="751" outlineLevel="1" x14ac:dyDescent="0.2"/>
    <row r="752" outlineLevel="1" x14ac:dyDescent="0.2"/>
    <row r="753" ht="19.5" customHeight="1" outlineLevel="1" x14ac:dyDescent="0.2"/>
    <row r="754" ht="18" customHeight="1" outlineLevel="1" x14ac:dyDescent="0.2"/>
    <row r="755" ht="18" customHeight="1" outlineLevel="1" x14ac:dyDescent="0.2"/>
    <row r="756" outlineLevel="1" x14ac:dyDescent="0.2"/>
    <row r="757" outlineLevel="1" x14ac:dyDescent="0.2"/>
    <row r="758" ht="16.5" customHeight="1" outlineLevel="1" x14ac:dyDescent="0.2"/>
    <row r="760" ht="15" customHeight="1" x14ac:dyDescent="0.2"/>
    <row r="761" ht="18.75" customHeight="1" x14ac:dyDescent="0.2"/>
    <row r="762" ht="16.5" customHeight="1" outlineLevel="1" x14ac:dyDescent="0.2"/>
    <row r="763" outlineLevel="1" x14ac:dyDescent="0.2"/>
    <row r="764" outlineLevel="1" x14ac:dyDescent="0.2"/>
    <row r="765" outlineLevel="1" x14ac:dyDescent="0.2"/>
    <row r="766" outlineLevel="1" x14ac:dyDescent="0.2"/>
    <row r="767" outlineLevel="1" x14ac:dyDescent="0.2"/>
    <row r="768" outlineLevel="1" x14ac:dyDescent="0.2"/>
    <row r="769" spans="1:8" outlineLevel="1" x14ac:dyDescent="0.2"/>
    <row r="770" spans="1:8" ht="18" customHeight="1" outlineLevel="1" x14ac:dyDescent="0.2"/>
    <row r="771" spans="1:8" outlineLevel="1" x14ac:dyDescent="0.2"/>
    <row r="772" spans="1:8" ht="19.5" customHeight="1" outlineLevel="1" x14ac:dyDescent="0.2"/>
    <row r="773" spans="1:8" outlineLevel="1" x14ac:dyDescent="0.2"/>
    <row r="774" spans="1:8" outlineLevel="1" x14ac:dyDescent="0.2"/>
    <row r="775" spans="1:8" outlineLevel="1" x14ac:dyDescent="0.2"/>
    <row r="776" spans="1:8" outlineLevel="1" x14ac:dyDescent="0.2"/>
    <row r="777" spans="1:8" outlineLevel="1" x14ac:dyDescent="0.2"/>
    <row r="778" spans="1:8" outlineLevel="1" x14ac:dyDescent="0.2"/>
    <row r="779" spans="1:8" outlineLevel="1" x14ac:dyDescent="0.2"/>
    <row r="780" spans="1:8" outlineLevel="1" x14ac:dyDescent="0.2"/>
    <row r="781" spans="1:8" outlineLevel="1" x14ac:dyDescent="0.2"/>
    <row r="783" spans="1:8" x14ac:dyDescent="0.2">
      <c r="H783" s="65"/>
    </row>
    <row r="784" spans="1:8" s="28" customFormat="1" ht="19.5" customHeight="1" x14ac:dyDescent="0.2">
      <c r="A784" s="25"/>
      <c r="B784"/>
      <c r="C784"/>
      <c r="D784"/>
      <c r="E784"/>
      <c r="F784"/>
    </row>
    <row r="785" spans="1:10" s="28" customFormat="1" ht="18" customHeight="1" outlineLevel="1" x14ac:dyDescent="0.2">
      <c r="A785" s="25"/>
      <c r="B785"/>
      <c r="C785"/>
      <c r="D785"/>
      <c r="E785"/>
      <c r="F785"/>
      <c r="H785" s="30"/>
    </row>
    <row r="786" spans="1:10" outlineLevel="1" x14ac:dyDescent="0.2"/>
    <row r="787" spans="1:10" outlineLevel="1" x14ac:dyDescent="0.2"/>
    <row r="788" spans="1:10" outlineLevel="1" x14ac:dyDescent="0.2"/>
    <row r="789" spans="1:10" outlineLevel="1" x14ac:dyDescent="0.2">
      <c r="I789">
        <v>31000</v>
      </c>
    </row>
    <row r="790" spans="1:10" outlineLevel="1" x14ac:dyDescent="0.2">
      <c r="I790">
        <f>23000</f>
        <v>23000</v>
      </c>
      <c r="J790" s="24"/>
    </row>
    <row r="791" spans="1:10" outlineLevel="1" x14ac:dyDescent="0.2">
      <c r="I791">
        <f>I789*I790</f>
        <v>713000000</v>
      </c>
      <c r="J791" s="42"/>
    </row>
    <row r="792" spans="1:10" outlineLevel="1" x14ac:dyDescent="0.2"/>
    <row r="793" spans="1:10" outlineLevel="1" x14ac:dyDescent="0.2"/>
    <row r="794" spans="1:10" outlineLevel="1" x14ac:dyDescent="0.2"/>
    <row r="795" spans="1:10" outlineLevel="1" x14ac:dyDescent="0.2"/>
    <row r="796" spans="1:10" outlineLevel="1" x14ac:dyDescent="0.2"/>
    <row r="797" spans="1:10" outlineLevel="1" x14ac:dyDescent="0.2"/>
    <row r="798" spans="1:10" outlineLevel="1" x14ac:dyDescent="0.2"/>
    <row r="799" spans="1:10" outlineLevel="1" x14ac:dyDescent="0.2"/>
    <row r="800" spans="1:10" outlineLevel="1" x14ac:dyDescent="0.2"/>
    <row r="801" outlineLevel="1" x14ac:dyDescent="0.2"/>
    <row r="802" outlineLevel="1" x14ac:dyDescent="0.2"/>
    <row r="803" outlineLevel="1" x14ac:dyDescent="0.2"/>
    <row r="804" ht="17.25" customHeight="1" outlineLevel="1" x14ac:dyDescent="0.2"/>
    <row r="806" ht="15" customHeight="1" x14ac:dyDescent="0.2"/>
    <row r="807" ht="18" customHeight="1" x14ac:dyDescent="0.2"/>
    <row r="808" hidden="1" outlineLevel="1" x14ac:dyDescent="0.2"/>
    <row r="809" hidden="1" outlineLevel="1" x14ac:dyDescent="0.2"/>
    <row r="810" ht="17.25" hidden="1" customHeight="1" outlineLevel="1" x14ac:dyDescent="0.2"/>
    <row r="811" hidden="1" outlineLevel="1" x14ac:dyDescent="0.2"/>
    <row r="812" hidden="1" outlineLevel="1" x14ac:dyDescent="0.2"/>
    <row r="813" hidden="1" outlineLevel="1" x14ac:dyDescent="0.2"/>
    <row r="814" hidden="1" outlineLevel="1" x14ac:dyDescent="0.2"/>
    <row r="815" hidden="1" outlineLevel="1" x14ac:dyDescent="0.2"/>
    <row r="816" ht="17.25" hidden="1" customHeight="1" outlineLevel="1" x14ac:dyDescent="0.2"/>
    <row r="817" spans="9:10" ht="16.5" hidden="1" customHeight="1" outlineLevel="1" x14ac:dyDescent="0.2"/>
    <row r="818" spans="9:10" ht="19.5" hidden="1" customHeight="1" outlineLevel="1" x14ac:dyDescent="0.2"/>
    <row r="819" spans="9:10" hidden="1" outlineLevel="1" x14ac:dyDescent="0.2"/>
    <row r="820" spans="9:10" hidden="1" outlineLevel="1" x14ac:dyDescent="0.2"/>
    <row r="821" spans="9:10" hidden="1" outlineLevel="1" x14ac:dyDescent="0.2"/>
    <row r="822" spans="9:10" hidden="1" outlineLevel="1" x14ac:dyDescent="0.2"/>
    <row r="823" spans="9:10" hidden="1" outlineLevel="1" x14ac:dyDescent="0.2"/>
    <row r="824" spans="9:10" ht="18" hidden="1" customHeight="1" outlineLevel="1" x14ac:dyDescent="0.2"/>
    <row r="825" spans="9:10" hidden="1" outlineLevel="1" x14ac:dyDescent="0.2"/>
    <row r="826" spans="9:10" hidden="1" outlineLevel="1" x14ac:dyDescent="0.2"/>
    <row r="827" spans="9:10" ht="16.5" hidden="1" customHeight="1" outlineLevel="1" x14ac:dyDescent="0.2"/>
    <row r="828" spans="9:10" collapsed="1" x14ac:dyDescent="0.2"/>
    <row r="830" spans="9:10" ht="19.5" customHeight="1" x14ac:dyDescent="0.2"/>
    <row r="831" spans="9:10" ht="20.25" hidden="1" customHeight="1" outlineLevel="1" thickTop="1" x14ac:dyDescent="0.2">
      <c r="J831" s="24">
        <v>7200000000</v>
      </c>
    </row>
    <row r="832" spans="9:10" ht="15.75" hidden="1" customHeight="1" outlineLevel="1" x14ac:dyDescent="0.2">
      <c r="I832">
        <f>3.6*11</f>
        <v>39.6</v>
      </c>
      <c r="J832" s="42">
        <f>J831*0.9</f>
        <v>6480000000</v>
      </c>
    </row>
    <row r="833" spans="7:9" ht="62.25" hidden="1" customHeight="1" outlineLevel="1" x14ac:dyDescent="0.2">
      <c r="G833" s="68"/>
      <c r="I833" s="23">
        <f>I832*3*5000000*0.7</f>
        <v>415800000</v>
      </c>
    </row>
    <row r="834" spans="7:9" ht="15.75" hidden="1" customHeight="1" outlineLevel="1" x14ac:dyDescent="0.2">
      <c r="G834" s="68"/>
      <c r="I834" s="69">
        <f>4600000000*0.9</f>
        <v>4140000000</v>
      </c>
    </row>
    <row r="835" spans="7:9" ht="15.75" hidden="1" customHeight="1" outlineLevel="1" x14ac:dyDescent="0.2">
      <c r="G835" s="68"/>
      <c r="I835" s="42">
        <f>I834-I833</f>
        <v>3724200000</v>
      </c>
    </row>
    <row r="836" spans="7:9" ht="15.75" hidden="1" customHeight="1" outlineLevel="1" x14ac:dyDescent="0.2">
      <c r="G836" s="68"/>
      <c r="I836" s="42">
        <f>I835/3.6</f>
        <v>1034500000</v>
      </c>
    </row>
    <row r="837" spans="7:9" ht="17.25" hidden="1" customHeight="1" outlineLevel="1" x14ac:dyDescent="0.2">
      <c r="G837" s="68"/>
      <c r="I837" s="42">
        <f>I835/39.6</f>
        <v>94045454.545454547</v>
      </c>
    </row>
    <row r="838" spans="7:9" ht="16.5" hidden="1" customHeight="1" outlineLevel="1" x14ac:dyDescent="0.2">
      <c r="G838" s="68"/>
    </row>
    <row r="839" spans="7:9" hidden="1" outlineLevel="1" x14ac:dyDescent="0.2">
      <c r="G839" s="68"/>
    </row>
    <row r="840" spans="7:9" hidden="1" outlineLevel="1" x14ac:dyDescent="0.2">
      <c r="G840" s="68"/>
    </row>
    <row r="841" spans="7:9" ht="18.75" hidden="1" customHeight="1" outlineLevel="1" x14ac:dyDescent="0.2">
      <c r="G841" s="68"/>
    </row>
    <row r="842" spans="7:9" hidden="1" outlineLevel="1" x14ac:dyDescent="0.2">
      <c r="G842" s="68"/>
    </row>
    <row r="843" spans="7:9" hidden="1" outlineLevel="1" x14ac:dyDescent="0.2">
      <c r="G843" s="68"/>
    </row>
    <row r="844" spans="7:9" hidden="1" outlineLevel="1" x14ac:dyDescent="0.2">
      <c r="G844" s="68"/>
    </row>
    <row r="845" spans="7:9" hidden="1" outlineLevel="1" x14ac:dyDescent="0.2">
      <c r="G845" s="68"/>
    </row>
    <row r="846" spans="7:9" hidden="1" outlineLevel="1" x14ac:dyDescent="0.2">
      <c r="G846" s="68"/>
    </row>
    <row r="847" spans="7:9" hidden="1" outlineLevel="1" x14ac:dyDescent="0.2">
      <c r="G847" s="68"/>
    </row>
    <row r="848" spans="7:9" hidden="1" outlineLevel="1" x14ac:dyDescent="0.2">
      <c r="G848" s="68"/>
    </row>
    <row r="849" spans="1:7" hidden="1" outlineLevel="1" x14ac:dyDescent="0.2">
      <c r="G849" s="68"/>
    </row>
    <row r="850" spans="1:7" ht="18.75" hidden="1" customHeight="1" outlineLevel="1" x14ac:dyDescent="0.2">
      <c r="G850" s="68"/>
    </row>
    <row r="851" spans="1:7" collapsed="1" x14ac:dyDescent="0.2">
      <c r="G851" s="68"/>
    </row>
    <row r="852" spans="1:7" ht="18" customHeight="1" x14ac:dyDescent="0.2">
      <c r="G852" s="68"/>
    </row>
    <row r="853" spans="1:7" ht="20.25" customHeight="1" x14ac:dyDescent="0.2">
      <c r="G853" s="68"/>
    </row>
    <row r="854" spans="1:7" s="28" customFormat="1" ht="18.75" hidden="1" customHeight="1" outlineLevel="1" thickTop="1" x14ac:dyDescent="0.2">
      <c r="A854" s="25"/>
      <c r="B854"/>
      <c r="C854"/>
      <c r="D854"/>
      <c r="E854"/>
      <c r="F854"/>
      <c r="G854" s="70"/>
    </row>
    <row r="855" spans="1:7" hidden="1" outlineLevel="1" x14ac:dyDescent="0.2">
      <c r="G855" s="68"/>
    </row>
    <row r="856" spans="1:7" ht="19.5" hidden="1" customHeight="1" outlineLevel="1" x14ac:dyDescent="0.2">
      <c r="G856" s="68"/>
    </row>
    <row r="857" spans="1:7" ht="17.25" hidden="1" customHeight="1" outlineLevel="1" x14ac:dyDescent="0.2">
      <c r="G857" s="68"/>
    </row>
    <row r="858" spans="1:7" ht="18" hidden="1" customHeight="1" outlineLevel="1" x14ac:dyDescent="0.2">
      <c r="G858" s="68"/>
    </row>
    <row r="859" spans="1:7" ht="18.75" hidden="1" customHeight="1" outlineLevel="1" x14ac:dyDescent="0.2"/>
    <row r="860" spans="1:7" ht="18" hidden="1" customHeight="1" outlineLevel="1" x14ac:dyDescent="0.2"/>
    <row r="861" spans="1:7" ht="16.5" hidden="1" customHeight="1" outlineLevel="1" x14ac:dyDescent="0.2">
      <c r="G861" s="68"/>
    </row>
    <row r="862" spans="1:7" hidden="1" outlineLevel="1" x14ac:dyDescent="0.2">
      <c r="G862" s="68"/>
    </row>
    <row r="863" spans="1:7" ht="17.25" hidden="1" customHeight="1" outlineLevel="1" x14ac:dyDescent="0.2">
      <c r="G863" s="68"/>
    </row>
    <row r="864" spans="1:7" ht="18.75" hidden="1" customHeight="1" outlineLevel="1" x14ac:dyDescent="0.2">
      <c r="G864" s="68"/>
    </row>
    <row r="865" spans="7:7" ht="32.25" hidden="1" customHeight="1" outlineLevel="1" x14ac:dyDescent="0.2">
      <c r="G865" s="68"/>
    </row>
    <row r="866" spans="7:7" ht="18" hidden="1" customHeight="1" outlineLevel="1" x14ac:dyDescent="0.2">
      <c r="G866" s="68"/>
    </row>
    <row r="867" spans="7:7" ht="18" hidden="1" customHeight="1" outlineLevel="1" x14ac:dyDescent="0.2">
      <c r="G867" s="68"/>
    </row>
    <row r="868" spans="7:7" ht="17.25" hidden="1" customHeight="1" outlineLevel="1" x14ac:dyDescent="0.2">
      <c r="G868" s="68"/>
    </row>
    <row r="869" spans="7:7" hidden="1" outlineLevel="1" x14ac:dyDescent="0.2">
      <c r="G869" s="68"/>
    </row>
    <row r="870" spans="7:7" hidden="1" outlineLevel="1" x14ac:dyDescent="0.2">
      <c r="G870" s="68"/>
    </row>
    <row r="871" spans="7:7" hidden="1" outlineLevel="1" x14ac:dyDescent="0.2">
      <c r="G871" s="68"/>
    </row>
    <row r="872" spans="7:7" ht="17.25" hidden="1" customHeight="1" outlineLevel="1" x14ac:dyDescent="0.2"/>
    <row r="873" spans="7:7" ht="20.25" hidden="1" customHeight="1" outlineLevel="1" x14ac:dyDescent="0.2"/>
    <row r="874" spans="7:7" collapsed="1" x14ac:dyDescent="0.2"/>
    <row r="876" spans="7:7" ht="19.5" customHeight="1" x14ac:dyDescent="0.2"/>
    <row r="877" spans="7:7" ht="16.5" hidden="1" customHeight="1" outlineLevel="1" thickTop="1" x14ac:dyDescent="0.2"/>
    <row r="878" spans="7:7" hidden="1" outlineLevel="1" x14ac:dyDescent="0.2"/>
    <row r="879" spans="7:7" hidden="1" outlineLevel="1" x14ac:dyDescent="0.2"/>
    <row r="880" spans="7:7" hidden="1" outlineLevel="1" x14ac:dyDescent="0.2"/>
    <row r="881" spans="11:11" hidden="1" outlineLevel="1" x14ac:dyDescent="0.2"/>
    <row r="882" spans="11:11" hidden="1" outlineLevel="1" x14ac:dyDescent="0.2">
      <c r="K882" s="24"/>
    </row>
    <row r="883" spans="11:11" ht="21" hidden="1" customHeight="1" outlineLevel="1" x14ac:dyDescent="0.2">
      <c r="K883" s="24"/>
    </row>
    <row r="884" spans="11:11" ht="18.75" hidden="1" customHeight="1" outlineLevel="1" x14ac:dyDescent="0.2">
      <c r="K884" s="24"/>
    </row>
    <row r="885" spans="11:11" hidden="1" outlineLevel="1" x14ac:dyDescent="0.2">
      <c r="K885" s="24"/>
    </row>
    <row r="886" spans="11:11" hidden="1" outlineLevel="1" x14ac:dyDescent="0.2">
      <c r="K886" s="24"/>
    </row>
    <row r="887" spans="11:11" ht="18" hidden="1" customHeight="1" outlineLevel="1" x14ac:dyDescent="0.2"/>
    <row r="888" spans="11:11" hidden="1" outlineLevel="1" x14ac:dyDescent="0.2"/>
    <row r="889" spans="11:11" hidden="1" outlineLevel="1" x14ac:dyDescent="0.2"/>
    <row r="890" spans="11:11" hidden="1" outlineLevel="1" x14ac:dyDescent="0.2"/>
    <row r="891" spans="11:11" hidden="1" outlineLevel="1" x14ac:dyDescent="0.2"/>
    <row r="892" spans="11:11" hidden="1" outlineLevel="1" x14ac:dyDescent="0.2"/>
    <row r="893" spans="11:11" hidden="1" outlineLevel="1" x14ac:dyDescent="0.2"/>
    <row r="894" spans="11:11" hidden="1" outlineLevel="1" x14ac:dyDescent="0.2"/>
    <row r="895" spans="11:11" hidden="1" outlineLevel="1" x14ac:dyDescent="0.2"/>
    <row r="896" spans="11:11" ht="18.75" hidden="1" customHeight="1" outlineLevel="1" x14ac:dyDescent="0.2"/>
    <row r="897" collapsed="1" x14ac:dyDescent="0.2"/>
    <row r="899" ht="16.5" customHeight="1" x14ac:dyDescent="0.2"/>
    <row r="900" hidden="1" outlineLevel="1" x14ac:dyDescent="0.2"/>
    <row r="901" hidden="1" outlineLevel="1" x14ac:dyDescent="0.2"/>
    <row r="902" ht="21.75" hidden="1" customHeight="1" outlineLevel="1" x14ac:dyDescent="0.2"/>
    <row r="903" hidden="1" outlineLevel="1" x14ac:dyDescent="0.2"/>
    <row r="904" hidden="1" outlineLevel="1" x14ac:dyDescent="0.2"/>
    <row r="905" hidden="1" outlineLevel="1" x14ac:dyDescent="0.2"/>
    <row r="906" ht="18.75" hidden="1" customHeight="1" outlineLevel="1" x14ac:dyDescent="0.2"/>
    <row r="907" ht="18" hidden="1" customHeight="1" outlineLevel="1" x14ac:dyDescent="0.2"/>
    <row r="908" ht="19.5" hidden="1" customHeight="1" outlineLevel="1" x14ac:dyDescent="0.2"/>
    <row r="909" hidden="1" outlineLevel="1" x14ac:dyDescent="0.2"/>
    <row r="910" ht="19.5" hidden="1" customHeight="1" outlineLevel="1" x14ac:dyDescent="0.2"/>
    <row r="911" ht="32.25" hidden="1" customHeight="1" outlineLevel="1" x14ac:dyDescent="0.2"/>
    <row r="912" hidden="1" outlineLevel="1" x14ac:dyDescent="0.2"/>
    <row r="913" hidden="1" outlineLevel="1" x14ac:dyDescent="0.2"/>
    <row r="914" hidden="1" outlineLevel="1" x14ac:dyDescent="0.2"/>
    <row r="915" hidden="1" outlineLevel="1" x14ac:dyDescent="0.2"/>
    <row r="916" hidden="1" outlineLevel="1" x14ac:dyDescent="0.2"/>
    <row r="917" hidden="1" outlineLevel="1" x14ac:dyDescent="0.2"/>
    <row r="918" hidden="1" outlineLevel="1" x14ac:dyDescent="0.2"/>
    <row r="919" ht="16.5" hidden="1" customHeight="1" outlineLevel="1" x14ac:dyDescent="0.2"/>
    <row r="920" collapsed="1" x14ac:dyDescent="0.2"/>
    <row r="921" ht="15" customHeight="1" x14ac:dyDescent="0.2"/>
    <row r="923" hidden="1" outlineLevel="1" x14ac:dyDescent="0.2"/>
    <row r="924" hidden="1" outlineLevel="1" x14ac:dyDescent="0.2"/>
    <row r="925" ht="18" hidden="1" customHeight="1" outlineLevel="1" x14ac:dyDescent="0.2"/>
    <row r="926" hidden="1" outlineLevel="1" x14ac:dyDescent="0.2"/>
    <row r="927" hidden="1" outlineLevel="1" x14ac:dyDescent="0.2"/>
    <row r="928" hidden="1" outlineLevel="1" x14ac:dyDescent="0.2"/>
    <row r="929" hidden="1" outlineLevel="1" x14ac:dyDescent="0.2"/>
    <row r="930" ht="15.75" hidden="1" customHeight="1" outlineLevel="1" x14ac:dyDescent="0.2"/>
    <row r="931" hidden="1" outlineLevel="1" x14ac:dyDescent="0.2"/>
    <row r="932" hidden="1" outlineLevel="1" x14ac:dyDescent="0.2"/>
    <row r="933" ht="18" hidden="1" customHeight="1" outlineLevel="1" x14ac:dyDescent="0.2"/>
    <row r="934" hidden="1" outlineLevel="1" x14ac:dyDescent="0.2"/>
    <row r="935" hidden="1" outlineLevel="1" x14ac:dyDescent="0.2"/>
    <row r="936" hidden="1" outlineLevel="1" x14ac:dyDescent="0.2"/>
    <row r="937" hidden="1" outlineLevel="1" x14ac:dyDescent="0.2"/>
    <row r="938" hidden="1" outlineLevel="1" x14ac:dyDescent="0.2"/>
    <row r="939" hidden="1" outlineLevel="1" x14ac:dyDescent="0.2"/>
    <row r="940" hidden="1" outlineLevel="1" x14ac:dyDescent="0.2"/>
    <row r="941" hidden="1" outlineLevel="1" x14ac:dyDescent="0.2"/>
    <row r="942" ht="18.75" hidden="1" customHeight="1" outlineLevel="1" x14ac:dyDescent="0.2"/>
    <row r="943" collapsed="1" x14ac:dyDescent="0.2"/>
    <row r="946" hidden="1" outlineLevel="1" x14ac:dyDescent="0.2"/>
    <row r="947" hidden="1" outlineLevel="1" x14ac:dyDescent="0.2"/>
    <row r="948" hidden="1" outlineLevel="1" x14ac:dyDescent="0.2"/>
    <row r="949" hidden="1" outlineLevel="1" x14ac:dyDescent="0.2"/>
    <row r="950" hidden="1" outlineLevel="1" x14ac:dyDescent="0.2"/>
    <row r="951" hidden="1" outlineLevel="1" x14ac:dyDescent="0.2"/>
    <row r="952" ht="16.5" hidden="1" customHeight="1" outlineLevel="1" x14ac:dyDescent="0.2"/>
    <row r="953" ht="18" hidden="1" customHeight="1" outlineLevel="1" x14ac:dyDescent="0.2"/>
    <row r="954" ht="18" hidden="1" customHeight="1" outlineLevel="1" x14ac:dyDescent="0.2"/>
    <row r="955" hidden="1" outlineLevel="1" x14ac:dyDescent="0.2"/>
    <row r="956" ht="18.75" hidden="1" customHeight="1" outlineLevel="1" x14ac:dyDescent="0.2"/>
    <row r="957" hidden="1" outlineLevel="1" x14ac:dyDescent="0.2"/>
    <row r="958" hidden="1" outlineLevel="1" x14ac:dyDescent="0.2"/>
    <row r="959" hidden="1" outlineLevel="1" x14ac:dyDescent="0.2"/>
    <row r="960" hidden="1" outlineLevel="1" x14ac:dyDescent="0.2"/>
    <row r="961" hidden="1" outlineLevel="1" x14ac:dyDescent="0.2"/>
    <row r="962" hidden="1" outlineLevel="1" x14ac:dyDescent="0.2"/>
    <row r="963" hidden="1" outlineLevel="1" x14ac:dyDescent="0.2"/>
    <row r="964" hidden="1" outlineLevel="1" x14ac:dyDescent="0.2"/>
    <row r="965" ht="18" hidden="1" customHeight="1" outlineLevel="1" x14ac:dyDescent="0.2"/>
    <row r="966" collapsed="1" x14ac:dyDescent="0.2"/>
    <row r="967" ht="15" customHeight="1" x14ac:dyDescent="0.2"/>
    <row r="969" hidden="1" outlineLevel="1" x14ac:dyDescent="0.2"/>
    <row r="970" hidden="1" outlineLevel="1" x14ac:dyDescent="0.2"/>
    <row r="971" hidden="1" outlineLevel="1" x14ac:dyDescent="0.2"/>
    <row r="972" hidden="1" outlineLevel="1" x14ac:dyDescent="0.2"/>
    <row r="973" hidden="1" outlineLevel="1" x14ac:dyDescent="0.2"/>
    <row r="974" hidden="1" outlineLevel="1" x14ac:dyDescent="0.2"/>
    <row r="975" ht="16.5" hidden="1" customHeight="1" outlineLevel="1" x14ac:dyDescent="0.2"/>
    <row r="976" hidden="1" outlineLevel="1" x14ac:dyDescent="0.2"/>
    <row r="977" spans="1:6" hidden="1" outlineLevel="1" x14ac:dyDescent="0.2"/>
    <row r="978" spans="1:6" hidden="1" outlineLevel="1" x14ac:dyDescent="0.2"/>
    <row r="979" spans="1:6" ht="21" hidden="1" customHeight="1" outlineLevel="1" x14ac:dyDescent="0.2"/>
    <row r="980" spans="1:6" ht="33" hidden="1" customHeight="1" outlineLevel="1" x14ac:dyDescent="0.2"/>
    <row r="981" spans="1:6" hidden="1" outlineLevel="1" x14ac:dyDescent="0.2"/>
    <row r="982" spans="1:6" hidden="1" outlineLevel="1" x14ac:dyDescent="0.2"/>
    <row r="983" spans="1:6" hidden="1" outlineLevel="1" x14ac:dyDescent="0.2"/>
    <row r="984" spans="1:6" ht="16.5" hidden="1" customHeight="1" outlineLevel="1" x14ac:dyDescent="0.2"/>
    <row r="985" spans="1:6" hidden="1" outlineLevel="1" x14ac:dyDescent="0.2"/>
    <row r="986" spans="1:6" hidden="1" outlineLevel="1" x14ac:dyDescent="0.2"/>
    <row r="987" spans="1:6" hidden="1" outlineLevel="1" x14ac:dyDescent="0.2"/>
    <row r="988" spans="1:6" s="53" customFormat="1" ht="15" hidden="1" customHeight="1" outlineLevel="1" x14ac:dyDescent="0.2">
      <c r="A988" s="55"/>
      <c r="B988"/>
      <c r="C988"/>
      <c r="D988"/>
      <c r="E988"/>
      <c r="F988"/>
    </row>
    <row r="989" spans="1:6" collapsed="1" x14ac:dyDescent="0.2"/>
    <row r="990" spans="1:6" ht="15" customHeight="1" x14ac:dyDescent="0.2"/>
    <row r="992" spans="1:6" ht="15.75" hidden="1" customHeight="1" outlineLevel="1" thickTop="1" x14ac:dyDescent="0.2"/>
    <row r="993" hidden="1" outlineLevel="1" x14ac:dyDescent="0.2"/>
    <row r="994" ht="34.5" hidden="1" customHeight="1" outlineLevel="1" x14ac:dyDescent="0.2"/>
    <row r="995" hidden="1" outlineLevel="1" x14ac:dyDescent="0.2"/>
    <row r="996" hidden="1" outlineLevel="1" x14ac:dyDescent="0.2"/>
    <row r="997" hidden="1" outlineLevel="1" x14ac:dyDescent="0.2"/>
    <row r="998" ht="19.5" hidden="1" customHeight="1" outlineLevel="1" x14ac:dyDescent="0.2"/>
    <row r="999" ht="21" hidden="1" customHeight="1" outlineLevel="1" x14ac:dyDescent="0.2"/>
    <row r="1000" ht="19.5" hidden="1" customHeight="1" outlineLevel="1" x14ac:dyDescent="0.2"/>
    <row r="1001" hidden="1" outlineLevel="1" x14ac:dyDescent="0.2"/>
    <row r="1002" hidden="1" outlineLevel="1" x14ac:dyDescent="0.2"/>
    <row r="1003" ht="38.25" hidden="1" customHeight="1" outlineLevel="1" x14ac:dyDescent="0.2"/>
    <row r="1004" hidden="1" outlineLevel="1" x14ac:dyDescent="0.2"/>
    <row r="1005" hidden="1" outlineLevel="1" x14ac:dyDescent="0.2"/>
    <row r="1006" hidden="1" outlineLevel="1" x14ac:dyDescent="0.2"/>
    <row r="1007" hidden="1" outlineLevel="1" x14ac:dyDescent="0.2"/>
    <row r="1008" hidden="1" outlineLevel="1" x14ac:dyDescent="0.2"/>
    <row r="1009" spans="7:8" hidden="1" outlineLevel="1" x14ac:dyDescent="0.2"/>
    <row r="1010" spans="7:8" hidden="1" outlineLevel="1" x14ac:dyDescent="0.2"/>
    <row r="1011" spans="7:8" ht="15" hidden="1" customHeight="1" outlineLevel="1" x14ac:dyDescent="0.2"/>
    <row r="1012" spans="7:8" collapsed="1" x14ac:dyDescent="0.2"/>
    <row r="1013" spans="7:8" ht="15" customHeight="1" x14ac:dyDescent="0.2"/>
    <row r="1015" spans="7:8" hidden="1" outlineLevel="1" x14ac:dyDescent="0.2"/>
    <row r="1016" spans="7:8" hidden="1" outlineLevel="1" x14ac:dyDescent="0.2"/>
    <row r="1017" spans="7:8" hidden="1" outlineLevel="1" x14ac:dyDescent="0.2"/>
    <row r="1018" spans="7:8" hidden="1" outlineLevel="1" x14ac:dyDescent="0.2"/>
    <row r="1019" spans="7:8" hidden="1" outlineLevel="1" x14ac:dyDescent="0.2"/>
    <row r="1020" spans="7:8" hidden="1" outlineLevel="1" x14ac:dyDescent="0.2"/>
    <row r="1021" spans="7:8" hidden="1" outlineLevel="1" x14ac:dyDescent="0.2"/>
    <row r="1022" spans="7:8" hidden="1" outlineLevel="1" x14ac:dyDescent="0.2">
      <c r="H1022" s="72">
        <v>4000000</v>
      </c>
    </row>
    <row r="1023" spans="7:8" hidden="1" outlineLevel="1" x14ac:dyDescent="0.2">
      <c r="G1023" s="26"/>
      <c r="H1023" s="72">
        <f>H1022*36.55</f>
        <v>146200000</v>
      </c>
    </row>
    <row r="1024" spans="7:8" hidden="1" outlineLevel="1" x14ac:dyDescent="0.2"/>
    <row r="1025" ht="15.75" hidden="1" customHeight="1" outlineLevel="1" x14ac:dyDescent="0.2"/>
    <row r="1026" ht="36.75" hidden="1" customHeight="1" outlineLevel="1" x14ac:dyDescent="0.2"/>
    <row r="1027" hidden="1" outlineLevel="1" x14ac:dyDescent="0.2"/>
    <row r="1028" hidden="1" outlineLevel="1" x14ac:dyDescent="0.2"/>
    <row r="1029" hidden="1" outlineLevel="1" x14ac:dyDescent="0.2"/>
    <row r="1030" hidden="1" outlineLevel="1" x14ac:dyDescent="0.2"/>
    <row r="1031" hidden="1" outlineLevel="1" x14ac:dyDescent="0.2"/>
    <row r="1032" hidden="1" outlineLevel="1" x14ac:dyDescent="0.2"/>
    <row r="1033" hidden="1" outlineLevel="1" x14ac:dyDescent="0.2"/>
    <row r="1034" ht="15" hidden="1" customHeight="1" outlineLevel="1" x14ac:dyDescent="0.2"/>
    <row r="1035" collapsed="1" x14ac:dyDescent="0.2"/>
    <row r="1036" ht="15" customHeight="1" x14ac:dyDescent="0.2"/>
    <row r="1037" ht="18.75" customHeight="1" x14ac:dyDescent="0.2"/>
    <row r="1038" hidden="1" outlineLevel="1" x14ac:dyDescent="0.2"/>
    <row r="1039" hidden="1" outlineLevel="1" x14ac:dyDescent="0.2"/>
    <row r="1040" hidden="1" outlineLevel="1" x14ac:dyDescent="0.2"/>
    <row r="1041" hidden="1" outlineLevel="1" x14ac:dyDescent="0.2"/>
    <row r="1042" hidden="1" outlineLevel="1" x14ac:dyDescent="0.2"/>
    <row r="1043" hidden="1" outlineLevel="1" x14ac:dyDescent="0.2"/>
    <row r="1044" hidden="1" outlineLevel="1" x14ac:dyDescent="0.2"/>
    <row r="1045" hidden="1" outlineLevel="1" x14ac:dyDescent="0.2"/>
    <row r="1046" ht="18.75" hidden="1" customHeight="1" outlineLevel="1" x14ac:dyDescent="0.2"/>
    <row r="1047" hidden="1" outlineLevel="1" x14ac:dyDescent="0.2"/>
    <row r="1048" hidden="1" outlineLevel="1" x14ac:dyDescent="0.2"/>
    <row r="1049" ht="35.25" hidden="1" customHeight="1" outlineLevel="1" x14ac:dyDescent="0.2"/>
    <row r="1050" hidden="1" outlineLevel="1" x14ac:dyDescent="0.2"/>
    <row r="1051" hidden="1" outlineLevel="1" x14ac:dyDescent="0.2"/>
    <row r="1052" hidden="1" outlineLevel="1" x14ac:dyDescent="0.2"/>
    <row r="1053" hidden="1" outlineLevel="1" x14ac:dyDescent="0.2"/>
    <row r="1054" ht="15" hidden="1" customHeight="1" outlineLevel="1" x14ac:dyDescent="0.2"/>
    <row r="1055" hidden="1" outlineLevel="1" x14ac:dyDescent="0.2"/>
    <row r="1056" hidden="1" outlineLevel="1" x14ac:dyDescent="0.2"/>
    <row r="1057" ht="15" hidden="1" customHeight="1" outlineLevel="1" x14ac:dyDescent="0.2"/>
    <row r="1058" collapsed="1" x14ac:dyDescent="0.2"/>
    <row r="1061" hidden="1" outlineLevel="1" x14ac:dyDescent="0.2"/>
    <row r="1062" hidden="1" outlineLevel="1" x14ac:dyDescent="0.2"/>
    <row r="1063" ht="33.75" hidden="1" customHeight="1" outlineLevel="1" x14ac:dyDescent="0.2"/>
    <row r="1064" hidden="1" outlineLevel="1" x14ac:dyDescent="0.2"/>
    <row r="1065" hidden="1" outlineLevel="1" x14ac:dyDescent="0.2"/>
    <row r="1066" hidden="1" outlineLevel="1" x14ac:dyDescent="0.2"/>
    <row r="1067" hidden="1" outlineLevel="1" x14ac:dyDescent="0.2"/>
    <row r="1068" hidden="1" outlineLevel="1" x14ac:dyDescent="0.2"/>
    <row r="1069" hidden="1" outlineLevel="1" x14ac:dyDescent="0.2"/>
    <row r="1070" hidden="1" outlineLevel="1" x14ac:dyDescent="0.2"/>
    <row r="1071" hidden="1" outlineLevel="1" x14ac:dyDescent="0.2"/>
    <row r="1072" hidden="1" outlineLevel="1" x14ac:dyDescent="0.2"/>
    <row r="1073" hidden="1" outlineLevel="1" x14ac:dyDescent="0.2"/>
    <row r="1074" hidden="1" outlineLevel="1" x14ac:dyDescent="0.2"/>
    <row r="1075" hidden="1" outlineLevel="1" x14ac:dyDescent="0.2"/>
    <row r="1076" hidden="1" outlineLevel="1" x14ac:dyDescent="0.2"/>
    <row r="1077" hidden="1" outlineLevel="1" x14ac:dyDescent="0.2"/>
    <row r="1078" hidden="1" outlineLevel="1" x14ac:dyDescent="0.2"/>
    <row r="1079" hidden="1" outlineLevel="1" x14ac:dyDescent="0.2"/>
    <row r="1080" ht="16.5" hidden="1" customHeight="1" outlineLevel="1" x14ac:dyDescent="0.2"/>
    <row r="1081" collapsed="1" x14ac:dyDescent="0.2"/>
    <row r="1084" hidden="1" outlineLevel="1" x14ac:dyDescent="0.2"/>
    <row r="1085" hidden="1" outlineLevel="1" x14ac:dyDescent="0.2"/>
    <row r="1086" hidden="1" outlineLevel="1" x14ac:dyDescent="0.2"/>
    <row r="1087" hidden="1" outlineLevel="1" x14ac:dyDescent="0.2"/>
    <row r="1088" hidden="1" outlineLevel="1" x14ac:dyDescent="0.2"/>
    <row r="1089" hidden="1" outlineLevel="1" x14ac:dyDescent="0.2"/>
    <row r="1090" ht="18" hidden="1" customHeight="1" outlineLevel="1" x14ac:dyDescent="0.2"/>
    <row r="1091" ht="18.75" hidden="1" customHeight="1" outlineLevel="1" x14ac:dyDescent="0.2"/>
    <row r="1092" hidden="1" outlineLevel="1" x14ac:dyDescent="0.2"/>
    <row r="1093" hidden="1" outlineLevel="1" x14ac:dyDescent="0.2"/>
    <row r="1094" ht="18.75" hidden="1" customHeight="1" outlineLevel="1" x14ac:dyDescent="0.2"/>
    <row r="1095" ht="35.25" hidden="1" customHeight="1" outlineLevel="1" x14ac:dyDescent="0.2"/>
    <row r="1096" hidden="1" outlineLevel="1" x14ac:dyDescent="0.2"/>
    <row r="1097" hidden="1" outlineLevel="1" x14ac:dyDescent="0.2"/>
    <row r="1098" hidden="1" outlineLevel="1" x14ac:dyDescent="0.2"/>
    <row r="1099" hidden="1" outlineLevel="1" x14ac:dyDescent="0.2"/>
    <row r="1100" hidden="1" outlineLevel="1" x14ac:dyDescent="0.2"/>
    <row r="1101" hidden="1" outlineLevel="1" x14ac:dyDescent="0.2"/>
    <row r="1102" hidden="1" outlineLevel="1" x14ac:dyDescent="0.2"/>
    <row r="1103" ht="18" hidden="1" customHeight="1" outlineLevel="1" x14ac:dyDescent="0.2"/>
    <row r="1104" collapsed="1" x14ac:dyDescent="0.2"/>
    <row r="1107" ht="18" hidden="1" customHeight="1" outlineLevel="1" thickTop="1" x14ac:dyDescent="0.2"/>
    <row r="1108" hidden="1" outlineLevel="1" x14ac:dyDescent="0.2"/>
    <row r="1109" ht="15.75" hidden="1" customHeight="1" outlineLevel="1" x14ac:dyDescent="0.2"/>
    <row r="1110" hidden="1" outlineLevel="1" x14ac:dyDescent="0.2"/>
    <row r="1111" hidden="1" outlineLevel="1" x14ac:dyDescent="0.2"/>
    <row r="1112" hidden="1" outlineLevel="1" x14ac:dyDescent="0.2"/>
    <row r="1113" ht="17.25" hidden="1" customHeight="1" outlineLevel="1" x14ac:dyDescent="0.2"/>
    <row r="1114" ht="16.5" hidden="1" customHeight="1" outlineLevel="1" x14ac:dyDescent="0.2"/>
    <row r="1115" ht="16.5" hidden="1" customHeight="1" outlineLevel="1" x14ac:dyDescent="0.2"/>
    <row r="1116" hidden="1" outlineLevel="1" x14ac:dyDescent="0.2"/>
    <row r="1117" ht="17.25" hidden="1" customHeight="1" outlineLevel="1" x14ac:dyDescent="0.2"/>
    <row r="1118" ht="36" hidden="1" customHeight="1" outlineLevel="1" x14ac:dyDescent="0.2"/>
    <row r="1119" hidden="1" outlineLevel="1" x14ac:dyDescent="0.2"/>
    <row r="1120" hidden="1" outlineLevel="1" x14ac:dyDescent="0.2"/>
    <row r="1121" spans="8:11" hidden="1" outlineLevel="1" x14ac:dyDescent="0.2"/>
    <row r="1122" spans="8:11" hidden="1" outlineLevel="1" x14ac:dyDescent="0.2"/>
    <row r="1123" spans="8:11" hidden="1" outlineLevel="1" x14ac:dyDescent="0.2"/>
    <row r="1124" spans="8:11" hidden="1" outlineLevel="1" x14ac:dyDescent="0.2"/>
    <row r="1125" spans="8:11" hidden="1" outlineLevel="1" x14ac:dyDescent="0.2">
      <c r="K1125" s="48">
        <v>12000000</v>
      </c>
    </row>
    <row r="1126" spans="8:11" hidden="1" outlineLevel="1" x14ac:dyDescent="0.2">
      <c r="K1126" s="67">
        <f>K1125/1.1</f>
        <v>10909090.909090908</v>
      </c>
    </row>
    <row r="1127" spans="8:11" collapsed="1" x14ac:dyDescent="0.2"/>
    <row r="1130" spans="8:11" hidden="1" outlineLevel="1" x14ac:dyDescent="0.2"/>
    <row r="1131" spans="8:11" hidden="1" outlineLevel="1" x14ac:dyDescent="0.2"/>
    <row r="1132" spans="8:11" hidden="1" outlineLevel="1" x14ac:dyDescent="0.2"/>
    <row r="1133" spans="8:11" hidden="1" outlineLevel="1" x14ac:dyDescent="0.2">
      <c r="H1133" s="73"/>
    </row>
    <row r="1134" spans="8:11" hidden="1" outlineLevel="1" x14ac:dyDescent="0.2">
      <c r="H1134" s="60"/>
    </row>
    <row r="1135" spans="8:11" hidden="1" outlineLevel="1" x14ac:dyDescent="0.2">
      <c r="H1135" s="61"/>
    </row>
    <row r="1136" spans="8:11" hidden="1" outlineLevel="1" x14ac:dyDescent="0.2">
      <c r="H1136" s="61"/>
    </row>
    <row r="1137" spans="8:8" hidden="1" outlineLevel="1" x14ac:dyDescent="0.2">
      <c r="H1137" s="61"/>
    </row>
    <row r="1138" spans="8:8" ht="18" hidden="1" customHeight="1" outlineLevel="1" x14ac:dyDescent="0.2"/>
    <row r="1139" spans="8:8" hidden="1" outlineLevel="1" x14ac:dyDescent="0.2"/>
    <row r="1140" spans="8:8" ht="16.5" hidden="1" customHeight="1" outlineLevel="1" x14ac:dyDescent="0.2"/>
    <row r="1141" spans="8:8" ht="35.25" hidden="1" customHeight="1" outlineLevel="1" x14ac:dyDescent="0.2"/>
    <row r="1142" spans="8:8" hidden="1" outlineLevel="1" x14ac:dyDescent="0.2"/>
    <row r="1143" spans="8:8" hidden="1" outlineLevel="1" x14ac:dyDescent="0.2"/>
    <row r="1144" spans="8:8" hidden="1" outlineLevel="1" x14ac:dyDescent="0.2"/>
    <row r="1145" spans="8:8" hidden="1" outlineLevel="1" x14ac:dyDescent="0.2"/>
    <row r="1146" spans="8:8" hidden="1" outlineLevel="1" x14ac:dyDescent="0.2"/>
    <row r="1147" spans="8:8" hidden="1" outlineLevel="1" x14ac:dyDescent="0.2"/>
    <row r="1148" spans="8:8" hidden="1" outlineLevel="1" x14ac:dyDescent="0.2"/>
    <row r="1149" spans="8:8" ht="15" hidden="1" customHeight="1" outlineLevel="1" x14ac:dyDescent="0.2"/>
    <row r="1150" spans="8:8" collapsed="1" x14ac:dyDescent="0.2"/>
    <row r="1151" spans="8:8" ht="15" customHeight="1" x14ac:dyDescent="0.2"/>
    <row r="1152" spans="8:8" ht="21" customHeight="1" x14ac:dyDescent="0.2"/>
    <row r="1153" ht="19.5" hidden="1" customHeight="1" outlineLevel="1" thickTop="1" x14ac:dyDescent="0.2"/>
    <row r="1154" hidden="1" outlineLevel="1" x14ac:dyDescent="0.2"/>
    <row r="1155" hidden="1" outlineLevel="1" x14ac:dyDescent="0.2"/>
    <row r="1156" hidden="1" outlineLevel="1" x14ac:dyDescent="0.2"/>
    <row r="1157" hidden="1" outlineLevel="1" x14ac:dyDescent="0.2"/>
    <row r="1158" hidden="1" outlineLevel="1" x14ac:dyDescent="0.2"/>
    <row r="1159" ht="18" hidden="1" customHeight="1" outlineLevel="1" x14ac:dyDescent="0.2"/>
    <row r="1160" hidden="1" outlineLevel="1" x14ac:dyDescent="0.2"/>
    <row r="1161" ht="16.5" hidden="1" customHeight="1" outlineLevel="1" x14ac:dyDescent="0.2"/>
    <row r="1162" hidden="1" outlineLevel="1" x14ac:dyDescent="0.2"/>
    <row r="1163" ht="21.75" hidden="1" customHeight="1" outlineLevel="1" x14ac:dyDescent="0.2"/>
    <row r="1164" ht="37.5" hidden="1" customHeight="1" outlineLevel="1" x14ac:dyDescent="0.2"/>
    <row r="1165" hidden="1" outlineLevel="1" x14ac:dyDescent="0.2"/>
    <row r="1166" hidden="1" outlineLevel="1" x14ac:dyDescent="0.2"/>
    <row r="1167" hidden="1" outlineLevel="1" x14ac:dyDescent="0.2"/>
    <row r="1168" hidden="1" outlineLevel="1" x14ac:dyDescent="0.2"/>
    <row r="1169" hidden="1" outlineLevel="1" x14ac:dyDescent="0.2"/>
    <row r="1170" hidden="1" outlineLevel="1" x14ac:dyDescent="0.2"/>
    <row r="1171" hidden="1" outlineLevel="1" x14ac:dyDescent="0.2"/>
    <row r="1172" ht="15" hidden="1" customHeight="1" outlineLevel="1" x14ac:dyDescent="0.2"/>
    <row r="1173" collapsed="1" x14ac:dyDescent="0.2"/>
    <row r="1174" ht="15" customHeight="1" x14ac:dyDescent="0.2"/>
    <row r="1175" ht="20.25" customHeight="1" x14ac:dyDescent="0.2"/>
    <row r="1176" ht="17.25" hidden="1" customHeight="1" outlineLevel="1" thickTop="1" x14ac:dyDescent="0.2"/>
    <row r="1177" hidden="1" outlineLevel="1" x14ac:dyDescent="0.2"/>
    <row r="1178" ht="18.75" hidden="1" customHeight="1" outlineLevel="1" x14ac:dyDescent="0.2"/>
    <row r="1179" hidden="1" outlineLevel="1" x14ac:dyDescent="0.2"/>
    <row r="1180" hidden="1" outlineLevel="1" x14ac:dyDescent="0.2"/>
    <row r="1181" hidden="1" outlineLevel="1" x14ac:dyDescent="0.2"/>
    <row r="1182" hidden="1" outlineLevel="1" x14ac:dyDescent="0.2"/>
    <row r="1183" hidden="1" outlineLevel="1" x14ac:dyDescent="0.2"/>
    <row r="1184" hidden="1" outlineLevel="1" x14ac:dyDescent="0.2"/>
    <row r="1185" hidden="1" outlineLevel="1" x14ac:dyDescent="0.2"/>
    <row r="1186" hidden="1" outlineLevel="1" x14ac:dyDescent="0.2"/>
    <row r="1187" hidden="1" outlineLevel="1" x14ac:dyDescent="0.2"/>
    <row r="1188" hidden="1" outlineLevel="1" x14ac:dyDescent="0.2"/>
    <row r="1189" hidden="1" outlineLevel="1" x14ac:dyDescent="0.2"/>
    <row r="1190" hidden="1" outlineLevel="1" x14ac:dyDescent="0.2"/>
    <row r="1191" hidden="1" outlineLevel="1" x14ac:dyDescent="0.2"/>
    <row r="1192" hidden="1" outlineLevel="1" x14ac:dyDescent="0.2"/>
    <row r="1193" hidden="1" outlineLevel="1" x14ac:dyDescent="0.2"/>
    <row r="1194" hidden="1" outlineLevel="1" x14ac:dyDescent="0.2"/>
    <row r="1195" ht="15" hidden="1" customHeight="1" outlineLevel="1" x14ac:dyDescent="0.2"/>
    <row r="1196" collapsed="1" x14ac:dyDescent="0.2"/>
    <row r="1197" ht="15" customHeight="1" x14ac:dyDescent="0.2"/>
    <row r="1199" hidden="1" outlineLevel="1" x14ac:dyDescent="0.2"/>
    <row r="1200" hidden="1" outlineLevel="1" x14ac:dyDescent="0.2"/>
    <row r="1201" spans="1:7" hidden="1" outlineLevel="1" x14ac:dyDescent="0.2"/>
    <row r="1202" spans="1:7" hidden="1" outlineLevel="1" x14ac:dyDescent="0.2"/>
    <row r="1203" spans="1:7" hidden="1" outlineLevel="1" x14ac:dyDescent="0.2"/>
    <row r="1204" spans="1:7" hidden="1" outlineLevel="1" x14ac:dyDescent="0.2"/>
    <row r="1205" spans="1:7" ht="18.75" hidden="1" customHeight="1" outlineLevel="1" x14ac:dyDescent="0.2"/>
    <row r="1206" spans="1:7" hidden="1" outlineLevel="1" x14ac:dyDescent="0.2"/>
    <row r="1207" spans="1:7" s="28" customFormat="1" ht="19.5" hidden="1" customHeight="1" outlineLevel="1" x14ac:dyDescent="0.2">
      <c r="A1207" s="25"/>
      <c r="B1207"/>
      <c r="C1207"/>
      <c r="D1207"/>
      <c r="E1207"/>
      <c r="F1207"/>
      <c r="G1207" s="26"/>
    </row>
    <row r="1208" spans="1:7" hidden="1" outlineLevel="1" x14ac:dyDescent="0.2"/>
    <row r="1209" spans="1:7" ht="19.5" hidden="1" customHeight="1" outlineLevel="1" x14ac:dyDescent="0.2"/>
    <row r="1210" spans="1:7" hidden="1" outlineLevel="1" x14ac:dyDescent="0.2"/>
    <row r="1211" spans="1:7" hidden="1" outlineLevel="1" x14ac:dyDescent="0.2"/>
    <row r="1212" spans="1:7" hidden="1" outlineLevel="1" x14ac:dyDescent="0.2"/>
    <row r="1213" spans="1:7" hidden="1" outlineLevel="1" x14ac:dyDescent="0.2"/>
    <row r="1214" spans="1:7" hidden="1" outlineLevel="1" x14ac:dyDescent="0.2"/>
    <row r="1215" spans="1:7" hidden="1" outlineLevel="1" x14ac:dyDescent="0.2"/>
    <row r="1216" spans="1:7" hidden="1" outlineLevel="1" x14ac:dyDescent="0.2"/>
    <row r="1217" hidden="1" outlineLevel="1" x14ac:dyDescent="0.2"/>
    <row r="1218" ht="15" hidden="1" customHeight="1" outlineLevel="1" x14ac:dyDescent="0.2"/>
    <row r="1219" collapsed="1" x14ac:dyDescent="0.2"/>
    <row r="1220" ht="15" customHeight="1" x14ac:dyDescent="0.2"/>
    <row r="1222" hidden="1" outlineLevel="1" x14ac:dyDescent="0.2"/>
    <row r="1223" hidden="1" outlineLevel="1" x14ac:dyDescent="0.2"/>
    <row r="1224" ht="33" hidden="1" customHeight="1" outlineLevel="1" x14ac:dyDescent="0.2"/>
    <row r="1225" hidden="1" outlineLevel="1" x14ac:dyDescent="0.2"/>
    <row r="1226" hidden="1" outlineLevel="1" x14ac:dyDescent="0.2"/>
    <row r="1227" hidden="1" outlineLevel="1" x14ac:dyDescent="0.2"/>
    <row r="1228" hidden="1" outlineLevel="1" x14ac:dyDescent="0.2"/>
    <row r="1229" hidden="1" outlineLevel="1" x14ac:dyDescent="0.2"/>
    <row r="1230" hidden="1" outlineLevel="1" x14ac:dyDescent="0.2"/>
    <row r="1231" hidden="1" outlineLevel="1" x14ac:dyDescent="0.2"/>
    <row r="1232" hidden="1" outlineLevel="1" x14ac:dyDescent="0.2"/>
    <row r="1233" ht="31.5" hidden="1" customHeight="1" outlineLevel="1" x14ac:dyDescent="0.2"/>
    <row r="1234" hidden="1" outlineLevel="1" x14ac:dyDescent="0.2"/>
    <row r="1235" hidden="1" outlineLevel="1" x14ac:dyDescent="0.2"/>
    <row r="1236" hidden="1" outlineLevel="1" x14ac:dyDescent="0.2"/>
    <row r="1237" hidden="1" outlineLevel="1" x14ac:dyDescent="0.2"/>
    <row r="1238" hidden="1" outlineLevel="1" x14ac:dyDescent="0.2"/>
    <row r="1239" hidden="1" outlineLevel="1" x14ac:dyDescent="0.2"/>
    <row r="1240" hidden="1" outlineLevel="1" x14ac:dyDescent="0.2"/>
    <row r="1241" ht="15" hidden="1" customHeight="1" outlineLevel="1" x14ac:dyDescent="0.2"/>
    <row r="1242" collapsed="1" x14ac:dyDescent="0.2"/>
    <row r="1245" hidden="1" outlineLevel="1" x14ac:dyDescent="0.2"/>
    <row r="1246" hidden="1" outlineLevel="1" x14ac:dyDescent="0.2"/>
    <row r="1247" hidden="1" outlineLevel="1" x14ac:dyDescent="0.2"/>
    <row r="1248" ht="18" hidden="1" customHeight="1" outlineLevel="1" x14ac:dyDescent="0.2"/>
    <row r="1249" hidden="1" outlineLevel="1" x14ac:dyDescent="0.2"/>
    <row r="1250" hidden="1" outlineLevel="1" x14ac:dyDescent="0.2"/>
    <row r="1251" hidden="1" outlineLevel="1" x14ac:dyDescent="0.2"/>
    <row r="1252" hidden="1" outlineLevel="1" x14ac:dyDescent="0.2"/>
    <row r="1253" hidden="1" outlineLevel="1" x14ac:dyDescent="0.2"/>
    <row r="1254" hidden="1" outlineLevel="1" x14ac:dyDescent="0.2"/>
    <row r="1255" ht="16.5" hidden="1" customHeight="1" outlineLevel="1" x14ac:dyDescent="0.2"/>
    <row r="1256" ht="36.75" hidden="1" customHeight="1" outlineLevel="1" x14ac:dyDescent="0.2"/>
    <row r="1257" hidden="1" outlineLevel="1" x14ac:dyDescent="0.2"/>
    <row r="1258" hidden="1" outlineLevel="1" x14ac:dyDescent="0.2"/>
    <row r="1259" hidden="1" outlineLevel="1" x14ac:dyDescent="0.2"/>
    <row r="1260" hidden="1" outlineLevel="1" x14ac:dyDescent="0.2"/>
    <row r="1261" hidden="1" outlineLevel="1" x14ac:dyDescent="0.2"/>
    <row r="1262" hidden="1" outlineLevel="1" x14ac:dyDescent="0.2"/>
    <row r="1263" hidden="1" outlineLevel="1" x14ac:dyDescent="0.2"/>
    <row r="1264" ht="17.45" hidden="1" customHeight="1" outlineLevel="1" x14ac:dyDescent="0.2"/>
    <row r="1265" spans="1:6" collapsed="1" x14ac:dyDescent="0.2"/>
    <row r="1268" spans="1:6" hidden="1" outlineLevel="1" x14ac:dyDescent="0.2"/>
    <row r="1269" spans="1:6" hidden="1" outlineLevel="1" x14ac:dyDescent="0.2"/>
    <row r="1270" spans="1:6" s="53" customFormat="1" hidden="1" outlineLevel="1" x14ac:dyDescent="0.2">
      <c r="A1270" s="55"/>
      <c r="B1270"/>
      <c r="C1270"/>
      <c r="D1270"/>
      <c r="E1270"/>
      <c r="F1270"/>
    </row>
    <row r="1271" spans="1:6" hidden="1" outlineLevel="1" x14ac:dyDescent="0.2"/>
    <row r="1272" spans="1:6" hidden="1" outlineLevel="1" x14ac:dyDescent="0.2"/>
    <row r="1273" spans="1:6" hidden="1" outlineLevel="1" x14ac:dyDescent="0.2"/>
    <row r="1274" spans="1:6" hidden="1" outlineLevel="1" x14ac:dyDescent="0.2"/>
    <row r="1275" spans="1:6" hidden="1" outlineLevel="1" x14ac:dyDescent="0.2"/>
    <row r="1276" spans="1:6" hidden="1" outlineLevel="1" x14ac:dyDescent="0.2"/>
    <row r="1277" spans="1:6" hidden="1" outlineLevel="1" x14ac:dyDescent="0.2"/>
    <row r="1278" spans="1:6" hidden="1" outlineLevel="1" x14ac:dyDescent="0.2"/>
    <row r="1279" spans="1:6" ht="41.25" hidden="1" customHeight="1" outlineLevel="1" x14ac:dyDescent="0.2"/>
    <row r="1280" spans="1:6" hidden="1" outlineLevel="1" x14ac:dyDescent="0.2"/>
    <row r="1281" hidden="1" outlineLevel="1" x14ac:dyDescent="0.2"/>
    <row r="1282" hidden="1" outlineLevel="1" x14ac:dyDescent="0.2"/>
    <row r="1283" hidden="1" outlineLevel="1" x14ac:dyDescent="0.2"/>
    <row r="1284" hidden="1" outlineLevel="1" x14ac:dyDescent="0.2"/>
    <row r="1285" hidden="1" outlineLevel="1" x14ac:dyDescent="0.2"/>
    <row r="1286" hidden="1" outlineLevel="1" x14ac:dyDescent="0.2"/>
    <row r="1287" ht="18.75" hidden="1" customHeight="1" outlineLevel="1" x14ac:dyDescent="0.2"/>
    <row r="1288" collapsed="1" x14ac:dyDescent="0.2"/>
    <row r="1289" ht="15" customHeight="1" x14ac:dyDescent="0.2"/>
    <row r="1291" hidden="1" outlineLevel="1" x14ac:dyDescent="0.2"/>
    <row r="1292" hidden="1" outlineLevel="1" x14ac:dyDescent="0.2"/>
    <row r="1293" hidden="1" outlineLevel="1" x14ac:dyDescent="0.2"/>
    <row r="1294" hidden="1" outlineLevel="1" x14ac:dyDescent="0.2"/>
    <row r="1295" hidden="1" outlineLevel="1" x14ac:dyDescent="0.2"/>
    <row r="1296" hidden="1" outlineLevel="1" x14ac:dyDescent="0.2"/>
    <row r="1297" spans="10:10" hidden="1" outlineLevel="1" x14ac:dyDescent="0.2"/>
    <row r="1298" spans="10:10" hidden="1" outlineLevel="1" x14ac:dyDescent="0.2"/>
    <row r="1299" spans="10:10" hidden="1" outlineLevel="1" x14ac:dyDescent="0.2"/>
    <row r="1300" spans="10:10" hidden="1" outlineLevel="1" x14ac:dyDescent="0.2"/>
    <row r="1301" spans="10:10" hidden="1" outlineLevel="1" x14ac:dyDescent="0.2"/>
    <row r="1302" spans="10:10" hidden="1" outlineLevel="1" x14ac:dyDescent="0.2"/>
    <row r="1303" spans="10:10" hidden="1" outlineLevel="1" x14ac:dyDescent="0.2"/>
    <row r="1304" spans="10:10" hidden="1" outlineLevel="1" x14ac:dyDescent="0.2"/>
    <row r="1305" spans="10:10" hidden="1" outlineLevel="1" x14ac:dyDescent="0.2"/>
    <row r="1306" spans="10:10" hidden="1" outlineLevel="1" x14ac:dyDescent="0.2"/>
    <row r="1307" spans="10:10" hidden="1" outlineLevel="1" x14ac:dyDescent="0.2"/>
    <row r="1308" spans="10:10" hidden="1" outlineLevel="1" x14ac:dyDescent="0.2"/>
    <row r="1309" spans="10:10" hidden="1" outlineLevel="1" x14ac:dyDescent="0.2"/>
    <row r="1310" spans="10:10" ht="17.45" hidden="1" customHeight="1" outlineLevel="1" x14ac:dyDescent="0.2"/>
    <row r="1311" spans="10:10" collapsed="1" x14ac:dyDescent="0.2"/>
    <row r="1312" spans="10:10" x14ac:dyDescent="0.2">
      <c r="J1312" s="48">
        <v>9150000</v>
      </c>
    </row>
    <row r="1313" spans="10:10" x14ac:dyDescent="0.2">
      <c r="J1313" s="67">
        <f>J1312-1200000</f>
        <v>7950000</v>
      </c>
    </row>
    <row r="1314" spans="10:10" hidden="1" outlineLevel="1" x14ac:dyDescent="0.2"/>
    <row r="1315" spans="10:10" hidden="1" outlineLevel="1" x14ac:dyDescent="0.2"/>
    <row r="1316" spans="10:10" ht="20.25" hidden="1" customHeight="1" outlineLevel="1" x14ac:dyDescent="0.2"/>
    <row r="1317" spans="10:10" hidden="1" outlineLevel="1" x14ac:dyDescent="0.2"/>
    <row r="1318" spans="10:10" hidden="1" outlineLevel="1" x14ac:dyDescent="0.2"/>
    <row r="1319" spans="10:10" hidden="1" outlineLevel="1" x14ac:dyDescent="0.2"/>
    <row r="1320" spans="10:10" hidden="1" outlineLevel="1" x14ac:dyDescent="0.2"/>
    <row r="1321" spans="10:10" hidden="1" outlineLevel="1" x14ac:dyDescent="0.2"/>
    <row r="1322" spans="10:10" ht="18" hidden="1" customHeight="1" outlineLevel="1" x14ac:dyDescent="0.2"/>
    <row r="1323" spans="10:10" hidden="1" outlineLevel="1" x14ac:dyDescent="0.2"/>
    <row r="1324" spans="10:10" hidden="1" outlineLevel="1" x14ac:dyDescent="0.2"/>
    <row r="1325" spans="10:10" ht="33.75" hidden="1" customHeight="1" outlineLevel="1" x14ac:dyDescent="0.2"/>
    <row r="1326" spans="10:10" hidden="1" outlineLevel="1" x14ac:dyDescent="0.2"/>
    <row r="1327" spans="10:10" hidden="1" outlineLevel="1" x14ac:dyDescent="0.2"/>
    <row r="1328" spans="10:10" hidden="1" outlineLevel="1" x14ac:dyDescent="0.2"/>
    <row r="1329" spans="10:10" hidden="1" outlineLevel="1" x14ac:dyDescent="0.2"/>
    <row r="1330" spans="10:10" hidden="1" outlineLevel="1" x14ac:dyDescent="0.2"/>
    <row r="1331" spans="10:10" hidden="1" outlineLevel="1" x14ac:dyDescent="0.2"/>
    <row r="1332" spans="10:10" hidden="1" outlineLevel="1" x14ac:dyDescent="0.2"/>
    <row r="1333" spans="10:10" ht="19.5" hidden="1" customHeight="1" outlineLevel="1" x14ac:dyDescent="0.2"/>
    <row r="1334" spans="10:10" collapsed="1" x14ac:dyDescent="0.2">
      <c r="J1334">
        <v>185000000</v>
      </c>
    </row>
    <row r="1335" spans="10:10" x14ac:dyDescent="0.2">
      <c r="J1335">
        <f>J1334+8000000</f>
        <v>193000000</v>
      </c>
    </row>
    <row r="1336" spans="10:10" x14ac:dyDescent="0.2">
      <c r="J1336">
        <f>J1335-15000000</f>
        <v>178000000</v>
      </c>
    </row>
    <row r="1337" spans="10:10" ht="17.25" hidden="1" customHeight="1" outlineLevel="1" thickTop="1" x14ac:dyDescent="0.2"/>
    <row r="1338" spans="10:10" hidden="1" outlineLevel="1" x14ac:dyDescent="0.2"/>
    <row r="1339" spans="10:10" hidden="1" outlineLevel="1" x14ac:dyDescent="0.2"/>
    <row r="1340" spans="10:10" hidden="1" outlineLevel="1" x14ac:dyDescent="0.2"/>
    <row r="1341" spans="10:10" hidden="1" outlineLevel="1" x14ac:dyDescent="0.2"/>
    <row r="1342" spans="10:10" hidden="1" outlineLevel="1" x14ac:dyDescent="0.2"/>
    <row r="1343" spans="10:10" hidden="1" outlineLevel="1" x14ac:dyDescent="0.2"/>
    <row r="1344" spans="10:10" hidden="1" outlineLevel="1" x14ac:dyDescent="0.2"/>
    <row r="1345" spans="9:10" hidden="1" outlineLevel="1" x14ac:dyDescent="0.2"/>
    <row r="1346" spans="9:10" hidden="1" outlineLevel="1" x14ac:dyDescent="0.2"/>
    <row r="1347" spans="9:10" hidden="1" outlineLevel="1" x14ac:dyDescent="0.2"/>
    <row r="1348" spans="9:10" ht="50.25" hidden="1" customHeight="1" outlineLevel="1" x14ac:dyDescent="0.2"/>
    <row r="1349" spans="9:10" hidden="1" outlineLevel="1" x14ac:dyDescent="0.2"/>
    <row r="1350" spans="9:10" hidden="1" outlineLevel="1" x14ac:dyDescent="0.2"/>
    <row r="1351" spans="9:10" hidden="1" outlineLevel="1" x14ac:dyDescent="0.2"/>
    <row r="1352" spans="9:10" hidden="1" outlineLevel="1" x14ac:dyDescent="0.2"/>
    <row r="1353" spans="9:10" hidden="1" outlineLevel="1" x14ac:dyDescent="0.2"/>
    <row r="1354" spans="9:10" hidden="1" outlineLevel="1" x14ac:dyDescent="0.2"/>
    <row r="1355" spans="9:10" hidden="1" outlineLevel="1" x14ac:dyDescent="0.2"/>
    <row r="1356" spans="9:10" hidden="1" outlineLevel="1" x14ac:dyDescent="0.2"/>
    <row r="1357" spans="9:10" collapsed="1" x14ac:dyDescent="0.2">
      <c r="J1357" s="48">
        <f>J1336-25500000</f>
        <v>152500000</v>
      </c>
    </row>
    <row r="1358" spans="9:10" ht="15.75" x14ac:dyDescent="0.25">
      <c r="I1358" s="71">
        <v>51300000</v>
      </c>
    </row>
    <row r="1359" spans="9:10" x14ac:dyDescent="0.2">
      <c r="I1359" s="31">
        <f>I1358-7500000</f>
        <v>43800000</v>
      </c>
    </row>
    <row r="1360" spans="9:10" hidden="1" outlineLevel="1" x14ac:dyDescent="0.2"/>
    <row r="1361" hidden="1" outlineLevel="1" x14ac:dyDescent="0.2"/>
    <row r="1362" hidden="1" outlineLevel="1" x14ac:dyDescent="0.2"/>
    <row r="1363" hidden="1" outlineLevel="1" x14ac:dyDescent="0.2"/>
    <row r="1364" hidden="1" outlineLevel="1" x14ac:dyDescent="0.2"/>
    <row r="1365" hidden="1" outlineLevel="1" x14ac:dyDescent="0.2"/>
    <row r="1366" hidden="1" outlineLevel="1" x14ac:dyDescent="0.2"/>
    <row r="1367" hidden="1" outlineLevel="1" x14ac:dyDescent="0.2"/>
    <row r="1368" hidden="1" outlineLevel="1" x14ac:dyDescent="0.2"/>
    <row r="1369" hidden="1" outlineLevel="1" x14ac:dyDescent="0.2"/>
    <row r="1370" hidden="1" outlineLevel="1" x14ac:dyDescent="0.2"/>
    <row r="1371" hidden="1" outlineLevel="1" x14ac:dyDescent="0.2"/>
    <row r="1372" hidden="1" outlineLevel="1" x14ac:dyDescent="0.2"/>
    <row r="1373" hidden="1" outlineLevel="1" x14ac:dyDescent="0.2"/>
    <row r="1374" hidden="1" outlineLevel="1" x14ac:dyDescent="0.2"/>
    <row r="1375" hidden="1" outlineLevel="1" x14ac:dyDescent="0.2"/>
    <row r="1376" hidden="1" outlineLevel="1" x14ac:dyDescent="0.2"/>
    <row r="1377" hidden="1" outlineLevel="1" x14ac:dyDescent="0.2"/>
    <row r="1378" hidden="1" outlineLevel="1" x14ac:dyDescent="0.2"/>
    <row r="1379" hidden="1" outlineLevel="1" x14ac:dyDescent="0.2"/>
    <row r="1380" collapsed="1" x14ac:dyDescent="0.2"/>
  </sheetData>
  <autoFilter ref="H1:H50" xr:uid="{E9417496-E1F2-417D-A40F-16104D78DCA6}">
    <sortState xmlns:xlrd2="http://schemas.microsoft.com/office/spreadsheetml/2017/richdata2" ref="H2:H91">
      <sortCondition ref="H1:H50"/>
    </sortState>
  </autoFilter>
  <mergeCells count="3">
    <mergeCell ref="O87:Q87"/>
    <mergeCell ref="B1:D1"/>
    <mergeCell ref="C22:D22"/>
  </mergeCells>
  <dataValidations count="7">
    <dataValidation type="list" allowBlank="1" showInputMessage="1" showErrorMessage="1" sqref="D10" xr:uid="{546CA500-72F5-4484-A3A4-3285ECD997E6}">
      <formula1>$H$2:$H$274</formula1>
    </dataValidation>
    <dataValidation type="list" allowBlank="1" showInputMessage="1" showErrorMessage="1" sqref="E17" xr:uid="{904B1C03-9228-4EF2-B102-F171A463EA9B}">
      <formula1>$J$2:$J$5</formula1>
    </dataValidation>
    <dataValidation type="list" showInputMessage="1" showErrorMessage="1" sqref="D9" xr:uid="{6A557CF6-B364-4DD4-837B-BFDD61CA13DD}">
      <formula1>$G$2:$G$15</formula1>
    </dataValidation>
    <dataValidation type="list" allowBlank="1" showInputMessage="1" showErrorMessage="1" sqref="D19" xr:uid="{06EC28E2-8061-43DE-B9F4-AF399EA4DFD5}">
      <formula1>$J$2:$J$10</formula1>
    </dataValidation>
    <dataValidation type="list" allowBlank="1" showInputMessage="1" showErrorMessage="1" sqref="F6" xr:uid="{E75B6951-1C3F-462E-8151-9ED57F4C3905}">
      <formula1>$G$1:$G$8</formula1>
    </dataValidation>
    <dataValidation type="list" allowBlank="1" showInputMessage="1" showErrorMessage="1" sqref="D4" xr:uid="{C9E7A2DA-3BCA-4715-B385-D013126E124F}">
      <formula1>$I$2:$I$13</formula1>
    </dataValidation>
    <dataValidation type="list" allowBlank="1" showInputMessage="1" showErrorMessage="1" sqref="D6" xr:uid="{2E939036-CBAF-47F6-A0AB-9E652CADE1F9}">
      <formula1>$M$2:$M$3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 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Trường pnt</dc:creator>
  <cp:lastModifiedBy>Trường pnt</cp:lastModifiedBy>
  <dcterms:created xsi:type="dcterms:W3CDTF">2026-04-23T11:19:20Z</dcterms:created>
  <dcterms:modified xsi:type="dcterms:W3CDTF">2026-04-23T11:38:07Z</dcterms:modified>
</cp:coreProperties>
</file>