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Up Hs" sheetId="1" state="visible" r:id="rId1"/>
  </sheets>
  <definedNames>
    <definedName name="Danh_Sach_Doi_Tac">OFFSET('Up Hs'!$H$2,0,0,COUNTA('Up Hs'!$H:$H)-1.1)</definedName>
    <definedName name="Ds_Doi_Tac_tm">OFFSET('Up Hs'!$H$2,MATCH('Up Hs'!A1&amp;"*",Danh_Sach_Doi_Tac,0)-1,0,COUNTIF(Danh_Sach_Doi_Tac,'Up Hs'!A1&amp;"*"),1)</definedName>
    <definedName name="_xlnm._FilterDatabase" localSheetId="0" hidden="1">'Up Hs'!$H$1:$H$50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(* #,##0_);_(* \(#,##0\);_(* &quot;-&quot;??_);_(@_)"/>
    <numFmt numFmtId="166" formatCode="_(* #,##0.00000_);_(* \(#,##0.00000\);_(* &quot;-&quot;??_);_(@_)"/>
  </numFmts>
  <fonts count="15"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b val="1"/>
      <color rgb="FFFF0000"/>
      <sz val="11"/>
    </font>
    <font>
      <name val="Times New Roman"/>
      <family val="1"/>
      <color theme="1"/>
      <sz val="11"/>
    </font>
    <font>
      <name val="Calibri"/>
      <family val="2"/>
      <color theme="1"/>
      <sz val="11"/>
    </font>
    <font>
      <name val="Arial"/>
      <family val="2"/>
      <color theme="1"/>
      <sz val="10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color theme="1"/>
      <sz val="11"/>
      <scheme val="major"/>
    </font>
    <font>
      <name val="Times New Roman"/>
      <family val="1"/>
      <b val="1"/>
      <i val="1"/>
      <color rgb="FF000000"/>
      <sz val="12"/>
    </font>
    <font>
      <name val="Arial"/>
      <family val="2"/>
      <color rgb="FF000000"/>
      <sz val="10"/>
    </font>
    <font>
      <name val="Times New Roman"/>
      <family val="1"/>
      <b val="1"/>
      <color rgb="FF000000"/>
      <sz val="11"/>
    </font>
    <font>
      <name val="Times New Roman"/>
      <family val="1"/>
      <color theme="1"/>
      <sz val="12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3">
    <xf numFmtId="0" fontId="1" fillId="0" borderId="0"/>
    <xf numFmtId="43" fontId="1" fillId="0" borderId="0"/>
    <xf numFmtId="41" fontId="1" fillId="0" borderId="0"/>
  </cellStyleXfs>
  <cellXfs count="10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3" fillId="3" borderId="2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7" fillId="3" borderId="1" pivotButton="0" quotePrefix="0" xfId="0"/>
    <xf numFmtId="0" fontId="7" fillId="3" borderId="1" applyAlignment="1" pivotButton="0" quotePrefix="0" xfId="0">
      <alignment vertical="center"/>
    </xf>
    <xf numFmtId="0" fontId="3" fillId="3" borderId="3" applyAlignment="1" pivotButton="0" quotePrefix="0" xfId="0">
      <alignment horizontal="left" vertical="center" wrapText="1"/>
    </xf>
    <xf numFmtId="0" fontId="0" fillId="3" borderId="0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3" borderId="0" pivotButton="0" quotePrefix="0" xfId="1"/>
    <xf numFmtId="0" fontId="8" fillId="3" borderId="1" applyAlignment="1" pivotButton="0" quotePrefix="0" xfId="0">
      <alignment vertical="center" wrapText="1"/>
    </xf>
    <xf numFmtId="1" fontId="0" fillId="0" borderId="0" pivotButton="0" quotePrefix="0" xfId="0"/>
    <xf numFmtId="165" fontId="0" fillId="0" borderId="0" pivotButton="0" quotePrefix="0" xfId="1"/>
    <xf numFmtId="166" fontId="0" fillId="0" borderId="0" pivotButton="0" quotePrefix="0" xfId="1"/>
    <xf numFmtId="0" fontId="5" fillId="3" borderId="3" applyAlignment="1" pivotButton="0" quotePrefix="0" xfId="0">
      <alignment horizontal="left" vertical="center" wrapText="1"/>
    </xf>
    <xf numFmtId="0" fontId="0" fillId="0" borderId="1" pivotButton="0" quotePrefix="0" xfId="0"/>
    <xf numFmtId="164" fontId="0" fillId="0" borderId="0" applyAlignment="1" pivotButton="0" quotePrefix="0" xfId="1">
      <alignment vertical="center"/>
    </xf>
    <xf numFmtId="164" fontId="0" fillId="0" borderId="0" pivotButton="0" quotePrefix="0" xfId="1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1">
      <alignment vertical="center"/>
    </xf>
    <xf numFmtId="49" fontId="6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49" fontId="0" fillId="0" borderId="0" pivotButton="0" quotePrefix="0" xfId="0"/>
    <xf numFmtId="165" fontId="0" fillId="0" borderId="0" applyAlignment="1" pivotButton="0" quotePrefix="0" xfId="0">
      <alignment vertical="center"/>
    </xf>
    <xf numFmtId="3" fontId="0" fillId="0" borderId="0" pivotButton="0" quotePrefix="0" xfId="0"/>
    <xf numFmtId="165" fontId="0" fillId="0" borderId="0" pivotButton="0" quotePrefix="0" xfId="1"/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3" fontId="11" fillId="0" borderId="0" pivotButton="0" quotePrefix="0" xfId="0"/>
    <xf numFmtId="164" fontId="0" fillId="0" borderId="0" pivotButton="0" quotePrefix="0" xfId="0"/>
    <xf numFmtId="165" fontId="0" fillId="0" borderId="0" applyAlignment="1" pivotButton="0" quotePrefix="0" xfId="1">
      <alignment vertical="top" wrapText="1"/>
    </xf>
    <xf numFmtId="0" fontId="12" fillId="6" borderId="5" applyAlignment="1" pivotButton="0" quotePrefix="0" xfId="0">
      <alignment horizontal="right" vertical="center" wrapText="1"/>
    </xf>
    <xf numFmtId="3" fontId="12" fillId="6" borderId="6" applyAlignment="1" pivotButton="0" quotePrefix="0" xfId="0">
      <alignment horizontal="right" vertical="center" wrapText="1"/>
    </xf>
    <xf numFmtId="0" fontId="12" fillId="6" borderId="7" applyAlignment="1" pivotButton="0" quotePrefix="0" xfId="0">
      <alignment horizontal="right" vertical="center" wrapText="1"/>
    </xf>
    <xf numFmtId="3" fontId="12" fillId="6" borderId="8" applyAlignment="1" pivotButton="0" quotePrefix="0" xfId="0">
      <alignment horizontal="right" vertical="center" wrapText="1"/>
    </xf>
    <xf numFmtId="41" fontId="0" fillId="0" borderId="0" pivotButton="0" quotePrefix="0" xfId="2"/>
    <xf numFmtId="9" fontId="0" fillId="0" borderId="0" pivotButton="0" quotePrefix="0" xfId="0"/>
    <xf numFmtId="41" fontId="0" fillId="0" borderId="1" applyAlignment="1" pivotButton="0" quotePrefix="0" xfId="2">
      <alignment vertical="top"/>
    </xf>
    <xf numFmtId="41" fontId="0" fillId="0" borderId="0" pivotButton="0" quotePrefix="0" xfId="2"/>
    <xf numFmtId="41" fontId="2" fillId="0" borderId="0" pivotButton="0" quotePrefix="0" xfId="2"/>
    <xf numFmtId="0" fontId="0" fillId="0" borderId="0" applyAlignment="1" pivotButton="0" quotePrefix="0" xfId="0">
      <alignment vertical="top"/>
    </xf>
    <xf numFmtId="43" fontId="0" fillId="0" borderId="0" pivotButton="0" quotePrefix="0" xfId="1"/>
    <xf numFmtId="0" fontId="0" fillId="0" borderId="0" applyAlignment="1" pivotButton="0" quotePrefix="0" xfId="0">
      <alignment horizontal="center" vertical="top"/>
    </xf>
    <xf numFmtId="165" fontId="0" fillId="0" borderId="0" applyAlignment="1" pivotButton="0" quotePrefix="0" xfId="1">
      <alignment horizontal="center"/>
    </xf>
    <xf numFmtId="41" fontId="0" fillId="0" borderId="0" applyAlignment="1" pivotButton="0" quotePrefix="0" xfId="2">
      <alignment vertical="center"/>
    </xf>
    <xf numFmtId="41" fontId="0" fillId="0" borderId="0" applyAlignment="1" pivotButton="0" quotePrefix="0" xfId="0">
      <alignment vertical="center"/>
    </xf>
    <xf numFmtId="41" fontId="0" fillId="0" borderId="0" applyAlignment="1" pivotButton="0" quotePrefix="0" xfId="2">
      <alignment vertical="top"/>
    </xf>
    <xf numFmtId="164" fontId="0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164" fontId="2" fillId="0" borderId="0" pivotButton="0" quotePrefix="0" xfId="1"/>
    <xf numFmtId="3" fontId="13" fillId="0" borderId="0" pivotButton="0" quotePrefix="0" xfId="0"/>
    <xf numFmtId="3" fontId="3" fillId="3" borderId="4" applyAlignment="1" pivotButton="0" quotePrefix="0" xfId="1">
      <alignment horizontal="left" vertical="center" wrapText="1"/>
    </xf>
    <xf numFmtId="165" fontId="0" fillId="0" borderId="0" applyAlignment="1" pivotButton="0" quotePrefix="0" xfId="0">
      <alignment vertical="top"/>
    </xf>
    <xf numFmtId="165" fontId="0" fillId="0" borderId="0" applyAlignment="1" pivotButton="0" quotePrefix="0" xfId="1">
      <alignment horizontal="center" vertical="center"/>
    </xf>
    <xf numFmtId="41" fontId="0" fillId="0" borderId="0" pivotButton="0" quotePrefix="0" xfId="0"/>
    <xf numFmtId="3" fontId="0" fillId="0" borderId="0" pivotButton="0" quotePrefix="0" xfId="1"/>
    <xf numFmtId="164" fontId="0" fillId="0" borderId="0" pivotButton="0" quotePrefix="0" xfId="1"/>
    <xf numFmtId="3" fontId="0" fillId="0" borderId="0" applyAlignment="1" pivotButton="0" quotePrefix="0" xfId="1">
      <alignment vertical="center"/>
    </xf>
    <xf numFmtId="3" fontId="14" fillId="0" borderId="0" pivotButton="0" quotePrefix="0" xfId="0"/>
    <xf numFmtId="165" fontId="0" fillId="0" borderId="0" applyAlignment="1" pivotButton="0" quotePrefix="0" xfId="1">
      <alignment vertical="top"/>
    </xf>
    <xf numFmtId="3" fontId="0" fillId="0" borderId="0" applyAlignment="1" pivotButton="0" quotePrefix="0" xfId="0">
      <alignment vertical="top"/>
    </xf>
    <xf numFmtId="0" fontId="0" fillId="3" borderId="0" pivotButton="0" quotePrefix="1" xfId="0"/>
    <xf numFmtId="9" fontId="0" fillId="0" borderId="4" applyAlignment="1" pivotButton="0" quotePrefix="0" xfId="0">
      <alignment horizontal="left"/>
    </xf>
    <xf numFmtId="0" fontId="10" fillId="5" borderId="4" applyAlignment="1" pivotButton="0" quotePrefix="0" xfId="0">
      <alignment vertical="center"/>
    </xf>
    <xf numFmtId="0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4" fillId="4" borderId="13" applyAlignment="1" pivotButton="0" quotePrefix="0" xfId="0">
      <alignment vertical="center" wrapText="1"/>
    </xf>
    <xf numFmtId="0" fontId="3" fillId="3" borderId="14" applyAlignment="1" pivotButton="0" quotePrefix="0" xfId="0">
      <alignment horizontal="left" vertical="center" wrapText="1"/>
    </xf>
    <xf numFmtId="0" fontId="5" fillId="3" borderId="15" applyAlignment="1" pivotButton="0" quotePrefix="0" xfId="0">
      <alignment horizontal="center" vertical="center" wrapText="1"/>
    </xf>
    <xf numFmtId="0" fontId="3" fillId="3" borderId="13" applyAlignment="1" pivotButton="0" quotePrefix="0" xfId="0">
      <alignment vertical="center" wrapText="1"/>
    </xf>
    <xf numFmtId="0" fontId="5" fillId="3" borderId="13" applyAlignment="1" pivotButton="0" quotePrefix="1" xfId="0">
      <alignment vertical="center" wrapText="1"/>
    </xf>
    <xf numFmtId="0" fontId="5" fillId="3" borderId="13" applyAlignment="1" pivotButton="0" quotePrefix="0" xfId="0">
      <alignment vertical="center" wrapText="1"/>
    </xf>
    <xf numFmtId="0" fontId="3" fillId="4" borderId="14" applyAlignment="1" pivotButton="0" quotePrefix="0" xfId="0">
      <alignment horizontal="left" vertical="center" wrapText="1"/>
    </xf>
    <xf numFmtId="0" fontId="3" fillId="3" borderId="15" applyAlignment="1" pivotButton="0" quotePrefix="0" xfId="0">
      <alignment horizontal="center" vertical="center" wrapText="1"/>
    </xf>
    <xf numFmtId="3" fontId="3" fillId="3" borderId="13" applyAlignment="1" pivotButton="0" quotePrefix="0" xfId="1">
      <alignment horizontal="left" vertical="center" wrapText="1"/>
    </xf>
    <xf numFmtId="0" fontId="8" fillId="3" borderId="15" applyAlignment="1" pivotButton="0" quotePrefix="0" xfId="0">
      <alignment horizontal="center" vertical="center" wrapText="1"/>
    </xf>
    <xf numFmtId="3" fontId="9" fillId="3" borderId="13" applyAlignment="1" pivotButton="0" quotePrefix="0" xfId="1">
      <alignment horizontal="left" vertical="center" wrapText="1"/>
    </xf>
    <xf numFmtId="3" fontId="5" fillId="3" borderId="13" applyAlignment="1" pivotButton="0" quotePrefix="0" xfId="1">
      <alignment horizontal="left" vertical="center" wrapText="1"/>
    </xf>
    <xf numFmtId="0" fontId="5" fillId="3" borderId="15" pivotButton="0" quotePrefix="0" xfId="0"/>
    <xf numFmtId="0" fontId="5" fillId="3" borderId="14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/>
    </xf>
    <xf numFmtId="0" fontId="0" fillId="0" borderId="13" pivotButton="0" quotePrefix="0" xfId="0"/>
    <xf numFmtId="0" fontId="0" fillId="0" borderId="13" pivotButton="0" quotePrefix="1" xfId="0"/>
    <xf numFmtId="0" fontId="2" fillId="0" borderId="16" applyAlignment="1" pivotButton="0" quotePrefix="0" xfId="0">
      <alignment horizontal="center"/>
    </xf>
    <xf numFmtId="0" fontId="0" fillId="0" borderId="17" pivotButton="0" quotePrefix="0" xfId="0"/>
    <xf numFmtId="0" fontId="0" fillId="3" borderId="18" applyAlignment="1" pivotButton="0" quotePrefix="0" xfId="0">
      <alignment vertical="center"/>
    </xf>
    <xf numFmtId="0" fontId="3" fillId="2" borderId="22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5" fillId="3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21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Comma [0]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447675</colOff>
      <row>50</row>
      <rowOff>28575</rowOff>
    </from>
    <to>
      <col>15</col>
      <colOff>2220181</colOff>
      <row>54</row>
      <rowOff>152400</rowOff>
    </to>
    <pic>
      <nvPicPr>
        <cNvPr id="4" name="Hình ảnh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757100" y="10734675"/>
          <a:ext cx="6134956" cy="923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rang_tính2">
    <outlinePr summaryBelow="1" summaryRight="1"/>
    <pageSetUpPr/>
  </sheetPr>
  <dimension ref="A1:Q1359"/>
  <sheetViews>
    <sheetView tabSelected="1" topLeftCell="B1" zoomScaleNormal="100" workbookViewId="0">
      <selection activeCell="E32" sqref="E32"/>
    </sheetView>
  </sheetViews>
  <sheetFormatPr baseColWidth="8" defaultRowHeight="14.25" outlineLevelRow="1"/>
  <cols>
    <col width="3.125" customWidth="1" style="1" min="1" max="1"/>
    <col width="7.375" customWidth="1" min="2" max="2"/>
    <col width="31.875" customWidth="1" min="3" max="3"/>
    <col width="121" customWidth="1" min="4" max="4"/>
    <col width="60.375" customWidth="1" min="5" max="5"/>
    <col width="32.625" customWidth="1" min="6" max="6"/>
    <col width="85.25" customWidth="1" style="32" min="7" max="7"/>
    <col width="48.625" customWidth="1" style="53" min="8" max="8"/>
    <col width="32.875" customWidth="1" min="9" max="9"/>
    <col width="14.75" customWidth="1" min="10" max="10"/>
    <col width="51.75" customWidth="1" min="11" max="11"/>
    <col width="6" customWidth="1" min="12" max="12"/>
    <col width="19.875" customWidth="1" min="13" max="13"/>
    <col width="15.125" customWidth="1" min="14" max="14"/>
    <col width="16.25" bestFit="1" customWidth="1" min="15" max="15"/>
    <col width="57.25" customWidth="1" min="16" max="16"/>
    <col width="16.625" customWidth="1" min="17" max="17"/>
    <col width="16.25" bestFit="1" customWidth="1" min="30" max="30"/>
    <col width="13.375" customWidth="1" min="31" max="31"/>
  </cols>
  <sheetData>
    <row r="1" ht="15" customHeight="1" thickBot="1">
      <c r="B1" s="101" t="inlineStr">
        <is>
          <t>THÔNG TIN HỒ SƠ</t>
        </is>
      </c>
      <c r="C1" s="102" t="n"/>
      <c r="D1" s="103" t="n"/>
      <c r="F1" s="1" t="n"/>
      <c r="G1" s="2" t="inlineStr">
        <is>
          <t>Mục Đích Thẩm Định</t>
        </is>
      </c>
      <c r="H1" s="3" t="inlineStr">
        <is>
          <t>Đối Tác</t>
        </is>
      </c>
      <c r="I1" s="2" t="inlineStr">
        <is>
          <t>Loại Tài Sản</t>
        </is>
      </c>
      <c r="J1" s="2" t="inlineStr">
        <is>
          <t>Chuyên Viên</t>
        </is>
      </c>
    </row>
    <row r="2" ht="19.5" customHeight="1" thickTop="1">
      <c r="A2" s="1" t="n">
        <v>1</v>
      </c>
      <c r="B2" s="80" t="n">
        <v>1</v>
      </c>
      <c r="C2" s="4" t="inlineStr">
        <is>
          <t>Số hợp đồng</t>
        </is>
      </c>
      <c r="D2" s="81" t="inlineStr">
        <is>
          <t>N04-1058</t>
        </is>
      </c>
      <c r="E2" s="5" t="n"/>
      <c r="F2" s="6" t="n"/>
      <c r="G2" s="7" t="inlineStr">
        <is>
          <t>Làm cơ sở tham khảo để thế chấp vay vốn tại Vietcombank</t>
        </is>
      </c>
      <c r="H2" s="8" t="inlineStr">
        <is>
          <t>Agribank Đông Gia Lai - Mr Lâm - 0987694599</t>
        </is>
      </c>
      <c r="I2" s="9" t="inlineStr">
        <is>
          <t>Bất động sản đơn lẻ</t>
        </is>
      </c>
      <c r="J2" s="10" t="inlineStr">
        <is>
          <t>Thampt2</t>
        </is>
      </c>
      <c r="K2" s="8" t="inlineStr">
        <is>
          <t>Agribank Đông Gia Lai - Mr Lâm - 0986694599</t>
        </is>
      </c>
      <c r="M2" t="inlineStr">
        <is>
          <t>Chưa sơ bộ</t>
        </is>
      </c>
    </row>
    <row r="3" ht="18.75" customHeight="1">
      <c r="B3" s="80" t="n">
        <v>2</v>
      </c>
      <c r="C3" s="11" t="inlineStr">
        <is>
          <t>Thông tin tài sản thẩm định giá</t>
        </is>
      </c>
      <c r="D3" s="82" t="n"/>
      <c r="G3" s="7" t="inlineStr">
        <is>
          <t>Làm cơ sở tham khảo để thế chấp vay vốn tại Sacombank</t>
        </is>
      </c>
      <c r="H3" s="8" t="inlineStr">
        <is>
          <t>Agribank Đông Gia Lai - Mr Thịnh - 0934196214</t>
        </is>
      </c>
      <c r="I3" s="10" t="inlineStr">
        <is>
          <t>Căn hộ chung cư</t>
        </is>
      </c>
      <c r="J3" s="10" t="inlineStr">
        <is>
          <t>Nhungnth16</t>
        </is>
      </c>
      <c r="K3" s="8" t="inlineStr">
        <is>
          <t>Agribank Đông Gia Lai - Mr Thịnh - 0934196114</t>
        </is>
      </c>
      <c r="M3" t="inlineStr">
        <is>
          <t>Đã sơ bộ</t>
        </is>
      </c>
    </row>
    <row r="4" outlineLevel="1" ht="19.5" customHeight="1">
      <c r="B4" s="83" t="n"/>
      <c r="C4" s="13" t="inlineStr">
        <is>
          <t>Loại tài sản</t>
        </is>
      </c>
      <c r="D4" s="84" t="inlineStr">
        <is>
          <t>Bds Đặc Thù khác</t>
        </is>
      </c>
      <c r="E4" s="74" t="n"/>
      <c r="G4" s="7" t="inlineStr">
        <is>
          <t>Làm cơ sở tham khảo để thế chấp vay vốn tại ngân hàng BIDV</t>
        </is>
      </c>
      <c r="H4" s="8" t="inlineStr">
        <is>
          <t>Agribank Đông Gia Lai - Ms Hồng - 0963040584</t>
        </is>
      </c>
      <c r="I4" s="10" t="inlineStr">
        <is>
          <t>Phương tiện vận tải</t>
        </is>
      </c>
      <c r="J4" s="10" t="inlineStr">
        <is>
          <t>Truongpnt</t>
        </is>
      </c>
      <c r="K4" s="8" t="inlineStr">
        <is>
          <t>Agribank Đông Gia Lai - Ms Hồng - 0965040584</t>
        </is>
      </c>
    </row>
    <row r="5" outlineLevel="1" ht="15.75" customHeight="1">
      <c r="B5" s="83" t="n"/>
      <c r="C5" s="13" t="inlineStr">
        <is>
          <t>Tài sản thẩm định giá</t>
        </is>
      </c>
      <c r="D5" s="85" t="inlineStr">
        <is>
          <t>Thua dat so 377, to ban do so 62; tai dia chi Phường Tự An, Thành phố Buôn Ma Thuột, Tỉnh Đắk Lắk.</t>
        </is>
      </c>
      <c r="E5" s="5" t="n"/>
      <c r="G5" s="13" t="inlineStr">
        <is>
          <t>Làm cơ sở tham khảo để thế chấp vay vốn tại ngân hàng chính sách xã hội tỉnh Gia Lai</t>
        </is>
      </c>
      <c r="H5" s="14" t="inlineStr">
        <is>
          <t>Agribank Đông Gia Lai - Ms. Huyền - 0912999933</t>
        </is>
      </c>
      <c r="I5" s="10" t="inlineStr">
        <is>
          <t>Máy móc thiết bị</t>
        </is>
      </c>
      <c r="J5" s="10" t="n"/>
      <c r="K5" s="14" t="inlineStr">
        <is>
          <t>Agribank Đông Gia Lai - Ms. Huyền - 0962999933</t>
        </is>
      </c>
    </row>
    <row r="6" outlineLevel="1" ht="18.75" customHeight="1">
      <c r="B6" s="83" t="n"/>
      <c r="C6" s="13" t="inlineStr">
        <is>
          <t>Sơ bộ</t>
        </is>
      </c>
      <c r="D6" s="84" t="inlineStr">
        <is>
          <t>Chua so bo</t>
        </is>
      </c>
      <c r="E6" s="5" t="n"/>
      <c r="G6" s="13" t="inlineStr">
        <is>
          <t>Làm cơ sở tham khảo để xử lý tài sản đảm bảo tại ngân hàng</t>
        </is>
      </c>
      <c r="H6" s="8" t="inlineStr">
        <is>
          <t>BIDV Nam Gia Lai - Mr. Dương - 0902155345</t>
        </is>
      </c>
      <c r="I6" s="10" t="inlineStr">
        <is>
          <t>Hồ sơ CB</t>
        </is>
      </c>
      <c r="J6" s="10" t="n"/>
      <c r="K6" s="8" t="inlineStr">
        <is>
          <t>BIDV Nam Gia Lai - Mr. Dương - 0902151345</t>
        </is>
      </c>
    </row>
    <row r="7" outlineLevel="1" ht="20.25" customHeight="1">
      <c r="B7" s="83" t="n"/>
      <c r="C7" s="13" t="inlineStr">
        <is>
          <t>Thời gian dự kiến hoàn thành</t>
        </is>
      </c>
      <c r="D7" s="86" t="inlineStr"/>
      <c r="E7" s="5" t="n"/>
      <c r="G7" s="13" t="inlineStr">
        <is>
          <t>Làm cơ sở tham khảo để thế chấp vay vốn tại Agribank</t>
        </is>
      </c>
      <c r="H7" s="14" t="inlineStr">
        <is>
          <t>BIDV Nam Gia Lai - Mr. Đạt - 0977842687</t>
        </is>
      </c>
      <c r="I7" s="10" t="inlineStr">
        <is>
          <t>BĐS đặc thù khác</t>
        </is>
      </c>
      <c r="J7" s="10" t="n"/>
      <c r="K7" s="14" t="inlineStr">
        <is>
          <t>BIDV Nam Gia Lai - Mr. Đạt - 0977822687</t>
        </is>
      </c>
    </row>
    <row r="8" outlineLevel="1" ht="15" customHeight="1">
      <c r="B8" s="80" t="n">
        <v>3</v>
      </c>
      <c r="C8" s="11" t="inlineStr">
        <is>
          <t>Thông tin đối tác*</t>
        </is>
      </c>
      <c r="D8" s="87" t="n"/>
      <c r="E8" s="5" t="n"/>
      <c r="G8" s="13" t="inlineStr">
        <is>
          <t>Làm cơ sở tham khảo để thế chấp vay vốn tại MSB</t>
        </is>
      </c>
      <c r="H8" s="14" t="inlineStr">
        <is>
          <t>BIDV Nam Gia Lai - Mr. Huy - 0975572634</t>
        </is>
      </c>
      <c r="I8" s="10" t="inlineStr">
        <is>
          <t>Danh mục Phương tiện vận tải</t>
        </is>
      </c>
      <c r="J8" s="15" t="n"/>
      <c r="K8" s="14" t="inlineStr">
        <is>
          <t>BIDV Nam Gia Lai - Mr. Huy - 0975172634</t>
        </is>
      </c>
    </row>
    <row r="9" outlineLevel="1" ht="15" customHeight="1">
      <c r="B9" s="83" t="n"/>
      <c r="C9" s="13" t="inlineStr">
        <is>
          <t>Mục đích thẩm định</t>
        </is>
      </c>
      <c r="D9" s="86" t="inlineStr">
        <is>
          <t>Làm cơ sở tham khảo để vay vốn tại VCB</t>
        </is>
      </c>
      <c r="E9" s="12" t="n"/>
      <c r="G9" s="13" t="inlineStr">
        <is>
          <t>Làm cơ sở tham khảo để thế chấp vay vốn tại Co-op Bank</t>
        </is>
      </c>
      <c r="H9" s="14" t="inlineStr">
        <is>
          <t>BIDV Nam Gia Lai - Mr. Thành - 0905026588</t>
        </is>
      </c>
      <c r="I9" s="10" t="inlineStr">
        <is>
          <t>Danh mục Máy móc thiết bị</t>
        </is>
      </c>
      <c r="J9" s="15" t="n"/>
      <c r="K9" s="14" t="inlineStr">
        <is>
          <t>BIDV Nam Gia Lai - Mr. Thành - 0905046588</t>
        </is>
      </c>
    </row>
    <row r="10" outlineLevel="1" ht="16.5" customHeight="1">
      <c r="B10" s="83" t="n"/>
      <c r="C10" s="13" t="inlineStr">
        <is>
          <t>Nguồn</t>
        </is>
      </c>
      <c r="D10" s="86" t="inlineStr">
        <is>
          <t>Quốc VCB Bắc Gia Lai</t>
        </is>
      </c>
      <c r="E10" s="5" t="n"/>
      <c r="G10" s="13" t="inlineStr">
        <is>
          <t>Làm cơ sở tham khảo để thế chấp vay vốn tại VP Bank</t>
        </is>
      </c>
      <c r="H10" s="14" t="inlineStr">
        <is>
          <t>BIDV Nam Gia Lai - Mr. Thảo - 0986769749</t>
        </is>
      </c>
      <c r="I10" s="10" t="inlineStr">
        <is>
          <t>Khách sạn, khu nghỉ dưỡng</t>
        </is>
      </c>
      <c r="J10" s="15" t="n"/>
      <c r="K10" s="14" t="inlineStr">
        <is>
          <t>BIDV Nam Gia Lai - Mr. Thảo - 0986469749</t>
        </is>
      </c>
    </row>
    <row r="11" outlineLevel="1" ht="18" customHeight="1">
      <c r="B11" s="83" t="n"/>
      <c r="C11" s="13" t="inlineStr">
        <is>
          <t>Thông tin khách hàng</t>
        </is>
      </c>
      <c r="D11" s="84" t="inlineStr">
        <is>
          <t>Trần Thị Thu Nguyệt</t>
        </is>
      </c>
      <c r="E11" s="5" t="n"/>
      <c r="G11" s="7" t="inlineStr">
        <is>
          <t>Làm cơ sở tham khảo để thế chấp vay vốn tại SeABank</t>
        </is>
      </c>
      <c r="H11" s="14" t="inlineStr">
        <is>
          <t>BIDV Nam Gia Lai - Mrs. Vân - 0908684173</t>
        </is>
      </c>
      <c r="I11" s="10" t="inlineStr">
        <is>
          <t>Dự án</t>
        </is>
      </c>
      <c r="J11" s="15" t="n"/>
      <c r="K11" s="14" t="inlineStr">
        <is>
          <t>BIDV Nam Gia Lai - Mrs. Vân - 0905684173</t>
        </is>
      </c>
    </row>
    <row r="12" outlineLevel="1" ht="15" customHeight="1">
      <c r="B12" s="88" t="n">
        <v>4</v>
      </c>
      <c r="C12" s="11" t="inlineStr">
        <is>
          <t>Phí dịch vụ</t>
        </is>
      </c>
      <c r="D12" s="87" t="n"/>
      <c r="E12" s="16" t="n"/>
      <c r="G12" s="7" t="inlineStr">
        <is>
          <t>Làm cơ sở tham khảo để thế chấp vay vốn tại Vietinbank</t>
        </is>
      </c>
      <c r="H12" s="14" t="inlineStr">
        <is>
          <t>BIDV Nam Gia Lai - Mr Hoà - 0932447049</t>
        </is>
      </c>
      <c r="I12" s="10" t="inlineStr">
        <is>
          <t>Cổ phiếu/Trái phiếu</t>
        </is>
      </c>
      <c r="J12" s="15" t="n"/>
      <c r="K12" s="14" t="inlineStr">
        <is>
          <t>BIDV Nam Gia Lai - Mr Hoà - 0932447049</t>
        </is>
      </c>
    </row>
    <row r="13" outlineLevel="1" ht="18" customHeight="1">
      <c r="B13" s="83" t="n"/>
      <c r="C13" s="13" t="inlineStr">
        <is>
          <t>Phí thẩm định</t>
        </is>
      </c>
      <c r="D13" s="89">
        <f>CONCATENATE(E14," Đã bao gồm VAT")</f>
        <v/>
      </c>
      <c r="E13" s="64" t="n">
        <v>3000000</v>
      </c>
      <c r="G13" s="7" t="inlineStr">
        <is>
          <t>Làm cơ sở tham khảo để thế chấp vay vốn tại Esun Bank</t>
        </is>
      </c>
      <c r="H13" s="14" t="inlineStr">
        <is>
          <t>BIDV Nam Gia Lai - Mr Sửu - 0935945179</t>
        </is>
      </c>
      <c r="I13" s="10" t="inlineStr">
        <is>
          <t>Doanh nghiệp</t>
        </is>
      </c>
      <c r="J13" s="15" t="n"/>
      <c r="K13" s="14" t="inlineStr">
        <is>
          <t>BIDV Nam Gia Lai - Mr Phú - 0935945179</t>
        </is>
      </c>
    </row>
    <row r="14" outlineLevel="1" ht="15" customHeight="1">
      <c r="B14" s="90" t="n"/>
      <c r="C14" s="17" t="inlineStr">
        <is>
          <t>Phí kê (nếu có)</t>
        </is>
      </c>
      <c r="D14" s="91">
        <f>CONCATENATE("[",D2,"] -",LEFT(D10,LEN(D10)-12),"- ",D5)</f>
        <v/>
      </c>
      <c r="E14" s="64">
        <f>TEXT(E13*1.1,"000.000")</f>
        <v/>
      </c>
      <c r="F14" s="18" t="n"/>
      <c r="G14" s="7" t="inlineStr">
        <is>
          <t>Làm cơ sở tham khảo để thế chấp vay vốn tại MB Bank</t>
        </is>
      </c>
      <c r="H14" s="14" t="inlineStr">
        <is>
          <t>BIDV Phố Núi - Ms Quỳnh Anh - 0975172634</t>
        </is>
      </c>
      <c r="I14" s="10" t="inlineStr">
        <is>
          <t>Combo bất động sản</t>
        </is>
      </c>
      <c r="K14" s="14" t="inlineStr">
        <is>
          <t>BIDV Phố Núi - Ms Quỳnh Anh - 0975172634</t>
        </is>
      </c>
    </row>
    <row r="15" outlineLevel="1" ht="15" customHeight="1">
      <c r="B15" s="83" t="n"/>
      <c r="C15" s="13" t="inlineStr">
        <is>
          <t>Tạm ứng</t>
        </is>
      </c>
      <c r="D15" s="92" t="inlineStr">
        <is>
          <t>1000000</t>
        </is>
      </c>
      <c r="E15" s="75" t="n">
        <v>0.15</v>
      </c>
      <c r="F15" s="32" t="n"/>
      <c r="H15" s="8" t="inlineStr">
        <is>
          <t>Co-op Bank - Ms. Liên - 0978133997</t>
        </is>
      </c>
      <c r="K15" s="8" t="inlineStr">
        <is>
          <t>Co-op Bank - Ms. Liên - 0978033997</t>
        </is>
      </c>
    </row>
    <row r="16" outlineLevel="1" ht="15" customHeight="1">
      <c r="B16" s="83" t="n"/>
      <c r="C16" s="13" t="inlineStr">
        <is>
          <t>Chi phí khảo sát (nếu có)</t>
        </is>
      </c>
      <c r="D16" s="92" t="inlineStr"/>
      <c r="E16" s="64">
        <f>E15*E13</f>
        <v/>
      </c>
      <c r="F16" s="20" t="n"/>
      <c r="H16" s="8" t="inlineStr">
        <is>
          <t>KHN</t>
        </is>
      </c>
      <c r="K16" s="8" t="inlineStr">
        <is>
          <t>KHN</t>
        </is>
      </c>
    </row>
    <row r="17" outlineLevel="1" ht="18" customHeight="1">
      <c r="B17" s="88" t="n">
        <v>5</v>
      </c>
      <c r="C17" s="11" t="inlineStr">
        <is>
          <t>Thành phần tham gia</t>
        </is>
      </c>
      <c r="D17" s="87" t="n"/>
      <c r="E17" s="76" t="inlineStr">
        <is>
          <t>Truongpnt</t>
        </is>
      </c>
      <c r="F17" s="18" t="n"/>
      <c r="H17" s="8" t="inlineStr">
        <is>
          <t>MSB Gia Lai - Mr. Nguyên - 0976171603</t>
        </is>
      </c>
      <c r="K17" s="8" t="inlineStr">
        <is>
          <t>MSB Gia Lai - Mr. Nguyên - 0976181603</t>
        </is>
      </c>
    </row>
    <row r="18" outlineLevel="1" ht="15" customHeight="1">
      <c r="B18" s="83" t="n"/>
      <c r="C18" s="13" t="inlineStr">
        <is>
          <t>Chuyên viên kinh doanh</t>
        </is>
      </c>
      <c r="D18" s="86" t="inlineStr">
        <is>
          <t>truongpnt</t>
        </is>
      </c>
      <c r="E18" s="5" t="n"/>
      <c r="F18" s="18" t="n"/>
      <c r="H18" s="8" t="inlineStr">
        <is>
          <t>MSB Gia Lai - Mr. Thắng - 0793656097</t>
        </is>
      </c>
      <c r="K18" s="8" t="inlineStr">
        <is>
          <t>MSB Gia Lai - Mr. Thắng - 0793656997</t>
        </is>
      </c>
    </row>
    <row r="19" outlineLevel="1" ht="15" customHeight="1">
      <c r="B19" s="83" t="n"/>
      <c r="C19" s="13" t="inlineStr">
        <is>
          <t>Chuyên viên nghiệp vụ</t>
        </is>
      </c>
      <c r="D19" s="86" t="inlineStr"/>
      <c r="E19" s="5" t="n"/>
      <c r="F19" s="18" t="n"/>
      <c r="H19" s="14" t="inlineStr">
        <is>
          <t>MSB Gia Lai - Ms Tình - 0961043023</t>
        </is>
      </c>
      <c r="K19" s="14" t="inlineStr">
        <is>
          <t>MSB Gia Lai - Ms Tình - 0961044023</t>
        </is>
      </c>
    </row>
    <row r="20" outlineLevel="1" ht="15" customHeight="1">
      <c r="B20" s="83" t="n"/>
      <c r="C20" s="13" t="inlineStr">
        <is>
          <t>Kiểm soát</t>
        </is>
      </c>
      <c r="D20" s="86" t="inlineStr"/>
      <c r="E20" s="5" t="n"/>
      <c r="F20" s="18" t="n"/>
      <c r="H20" s="14" t="inlineStr">
        <is>
          <t>MSB Kon Tum - Mr Huy - 0922309786</t>
        </is>
      </c>
      <c r="K20" s="14" t="inlineStr">
        <is>
          <t>MSB Kon Tum - Mr Huy - 0902309786</t>
        </is>
      </c>
    </row>
    <row r="21" outlineLevel="1" ht="15" customHeight="1">
      <c r="B21" s="88" t="n">
        <v>6</v>
      </c>
      <c r="C21" s="11" t="inlineStr">
        <is>
          <t>Ghi chú khác (nếu có)</t>
        </is>
      </c>
      <c r="D21" s="82" t="n"/>
      <c r="E21" s="5" t="n"/>
      <c r="F21" s="18" t="n"/>
      <c r="H21" s="8" t="inlineStr">
        <is>
          <t>MSB Kon Tum - Ms Loan - 0919235099</t>
        </is>
      </c>
      <c r="K21" s="8" t="inlineStr">
        <is>
          <t>MSB Kon Tum - Ms Loan - 0919335099</t>
        </is>
      </c>
    </row>
    <row r="22" outlineLevel="1" ht="15" customHeight="1">
      <c r="B22" s="93" t="n"/>
      <c r="C22" s="104" t="inlineStr"/>
      <c r="D22" s="105" t="n"/>
      <c r="E22" s="5" t="n"/>
      <c r="F22" s="18" t="n"/>
      <c r="H22" s="8" t="inlineStr">
        <is>
          <t>NHCS An Khê - Ms Như - 0905505717</t>
        </is>
      </c>
      <c r="K22" s="8" t="inlineStr">
        <is>
          <t>NHCS An Khê - Ms Như - 0905509717</t>
        </is>
      </c>
    </row>
    <row r="23" outlineLevel="1" ht="15" customHeight="1">
      <c r="B23" s="95" t="n">
        <v>7</v>
      </c>
      <c r="C23" s="22" t="inlineStr">
        <is>
          <t>Địa chỉ khách hàng</t>
        </is>
      </c>
      <c r="D23" s="96" t="inlineStr">
        <is>
          <t>Phường Tân An, Thành phố Buôn Ma Thuột, Tỉnh Đắk Lắk</t>
        </is>
      </c>
      <c r="F23" s="18" t="n"/>
      <c r="H23" s="8" t="inlineStr">
        <is>
          <t>NHCS Chư Pưh - Mr. Hưng - 096775449</t>
        </is>
      </c>
      <c r="K23" s="8" t="inlineStr">
        <is>
          <t>NHCS Chư Pưh - Mr. Hưng - 096874449</t>
        </is>
      </c>
    </row>
    <row r="24" ht="15" customHeight="1">
      <c r="B24" s="95" t="n">
        <v>8</v>
      </c>
      <c r="C24" s="22" t="inlineStr">
        <is>
          <t>Số căn cước công dân</t>
        </is>
      </c>
      <c r="D24" s="97" t="inlineStr">
        <is>
          <t>240451331</t>
        </is>
      </c>
      <c r="H24" s="8" t="inlineStr">
        <is>
          <t>NHCS Đak Pơ - Ms Chi - 0362935570</t>
        </is>
      </c>
      <c r="K24" s="8" t="inlineStr">
        <is>
          <t>NHCS Đak Pơ - Ms Chi - 0362930570</t>
        </is>
      </c>
    </row>
    <row r="25" ht="16.5" customHeight="1" thickBot="1">
      <c r="B25" s="98" t="n">
        <v>9</v>
      </c>
      <c r="C25" s="99" t="inlineStr">
        <is>
          <t>Ghi chú cá nhân</t>
        </is>
      </c>
      <c r="D25" s="100" t="inlineStr"/>
      <c r="H25" s="8" t="inlineStr">
        <is>
          <t>NHCS Đức Cơ - Mr. Tuân - 0399244050</t>
        </is>
      </c>
      <c r="K25" s="8" t="inlineStr">
        <is>
          <t>NHCS Đức Cơ - Mr. Tuân - 0399144050</t>
        </is>
      </c>
    </row>
    <row r="26" outlineLevel="1" ht="19.5" customHeight="1">
      <c r="H26" s="8" t="inlineStr">
        <is>
          <t>NHCS Chư Păh - Mr Tý - 0336538807</t>
        </is>
      </c>
      <c r="K26" s="8" t="inlineStr">
        <is>
          <t>NHCS Chư Păh - Mr Tý - 0336537807</t>
        </is>
      </c>
    </row>
    <row r="27" outlineLevel="1" ht="15" customHeight="1">
      <c r="H27" s="8" t="inlineStr">
        <is>
          <t>NHCS Gia Lai - Ms Huyền - 0942671909</t>
        </is>
      </c>
      <c r="K27" s="8" t="inlineStr">
        <is>
          <t>NHCS Gia Lai - Ms Huyền - 0942670909</t>
        </is>
      </c>
    </row>
    <row r="28" outlineLevel="1" ht="19.5" customHeight="1">
      <c r="H28" s="8" t="inlineStr">
        <is>
          <t>NHCS Kbang - Ms Nga - 0968147399</t>
        </is>
      </c>
      <c r="K28" s="8" t="inlineStr">
        <is>
          <t>NHCS Kbang - Ms Nga - 0968137399</t>
        </is>
      </c>
    </row>
    <row r="29" outlineLevel="1" ht="15" customHeight="1">
      <c r="H29" s="8" t="inlineStr">
        <is>
          <t>NHCS Kông Chro - Ms Hải - 0979745029</t>
        </is>
      </c>
      <c r="K29" s="8" t="inlineStr">
        <is>
          <t>NHCS Kông Chro - Ms Hải - 0979735029</t>
        </is>
      </c>
    </row>
    <row r="30" outlineLevel="1" ht="15" customHeight="1">
      <c r="H30" s="8" t="inlineStr">
        <is>
          <t>Sacombank Gia Lai - Mr Phú - 0347990001</t>
        </is>
      </c>
      <c r="K30" s="8" t="inlineStr">
        <is>
          <t>Sacombank Gia Lai - Mr Phú - 0347990000</t>
        </is>
      </c>
    </row>
    <row r="31" outlineLevel="1" ht="19.5" customHeight="1">
      <c r="H31" s="8" t="inlineStr">
        <is>
          <t>Sacombank Gia Lai - Mr Sơn - 0935885888</t>
        </is>
      </c>
      <c r="K31" s="8" t="inlineStr">
        <is>
          <t>Sacombank Gia Lai - Mr Sơn - 0935885881</t>
        </is>
      </c>
    </row>
    <row r="32" outlineLevel="1" ht="18" customFormat="1" customHeight="1" s="28">
      <c r="A32" s="25" t="n"/>
      <c r="G32" s="26" t="n"/>
      <c r="H32" s="27" t="inlineStr">
        <is>
          <t>Sacombank Gia Lai - Mr Tiền - 0986383187</t>
        </is>
      </c>
      <c r="K32" s="27" t="inlineStr">
        <is>
          <t>Sacombank Gia Lai - Mr Tiền - 0986183187</t>
        </is>
      </c>
    </row>
    <row r="33" outlineLevel="1" ht="16.5" customHeight="1">
      <c r="H33" s="8" t="inlineStr">
        <is>
          <t>Sacombank Gia Lai - Mr Bình - 0937393357</t>
        </is>
      </c>
      <c r="K33" s="8" t="inlineStr">
        <is>
          <t>Sacombank Gia Lai - Mr Bình - 0937391357</t>
        </is>
      </c>
    </row>
    <row r="34" outlineLevel="1" ht="32.25" customHeight="1">
      <c r="H34" s="14" t="inlineStr">
        <is>
          <t>Sacombank Gia Lai - Mr Hoàng - 0964596968</t>
        </is>
      </c>
      <c r="J34" s="29" t="n"/>
      <c r="K34" s="14" t="inlineStr">
        <is>
          <t>Sacombank Gia Lai - Mr Hoàng - 0964496968</t>
        </is>
      </c>
    </row>
    <row r="35" outlineLevel="1" ht="15" customHeight="1">
      <c r="H35" s="14" t="inlineStr">
        <is>
          <t>Sacombank Gia Lai - Mr Huy 0949091669</t>
        </is>
      </c>
      <c r="K35" s="14" t="inlineStr">
        <is>
          <t>Sacombank Gia Lai - Mr Huy 0949091569</t>
        </is>
      </c>
    </row>
    <row r="36" outlineLevel="1" ht="19.5" customHeight="1">
      <c r="H36" s="14" t="inlineStr">
        <is>
          <t>Sacombank Gia Lai - Mr Sơn - 0935886881</t>
        </is>
      </c>
      <c r="K36" s="14" t="inlineStr">
        <is>
          <t>Sacombank Gia Lai - Mr Sơn - 0935885881</t>
        </is>
      </c>
    </row>
    <row r="37" outlineLevel="1" ht="32.25" customHeight="1">
      <c r="H37" s="14" t="inlineStr">
        <is>
          <t>Sacombank Gia Lai - Mr Tiền - 0986183287</t>
        </is>
      </c>
      <c r="K37" s="14" t="inlineStr">
        <is>
          <t>Sacombank Gia Lai - Mr Tiền - 0986183187</t>
        </is>
      </c>
    </row>
    <row r="38" outlineLevel="1" ht="15" customHeight="1">
      <c r="H38" s="14" t="inlineStr">
        <is>
          <t>Sacombank Gia Lai - Mr Thành - 0966860071</t>
        </is>
      </c>
      <c r="K38" s="14" t="inlineStr">
        <is>
          <t>Sacombank Gia Lai - Mr Thành - 0966860071</t>
        </is>
      </c>
    </row>
    <row r="39" outlineLevel="1" ht="15" customHeight="1">
      <c r="H39" s="14" t="inlineStr">
        <is>
          <t>Sacombank Gia Lai - Mr Thắng 0905834222</t>
        </is>
      </c>
      <c r="K39" s="14" t="inlineStr">
        <is>
          <t>Sacombank Gia Lai - Mr Thắng 0905831222</t>
        </is>
      </c>
    </row>
    <row r="40" outlineLevel="1" ht="15" customHeight="1">
      <c r="H40" s="14" t="inlineStr">
        <is>
          <t>Sacombank Gia Lai - Mr Trung - 0904423567</t>
        </is>
      </c>
      <c r="K40" s="14" t="inlineStr">
        <is>
          <t>Sacombank Gia Lai - Mr Trung - 0904422567</t>
        </is>
      </c>
    </row>
    <row r="41" outlineLevel="1" ht="15" customHeight="1">
      <c r="H41" s="14" t="inlineStr">
        <is>
          <t>Sacombank PGD An Khê - Mr Bảo - 0905816851</t>
        </is>
      </c>
      <c r="K41" s="14" t="inlineStr">
        <is>
          <t>Sacombank PGD An Khê - Mr Bảo - 0905815851</t>
        </is>
      </c>
    </row>
    <row r="42" outlineLevel="1" ht="15" customHeight="1">
      <c r="H42" s="14" t="inlineStr">
        <is>
          <t>Sacombank PGD Chư Sê - Mr Tuấn - 0927715345</t>
        </is>
      </c>
      <c r="K42" s="14" t="inlineStr">
        <is>
          <t>Sacombank PGD Chư Sê - Mr Tuấn - 0927712345</t>
        </is>
      </c>
    </row>
    <row r="43" outlineLevel="1" ht="15" customHeight="1">
      <c r="H43" s="14" t="inlineStr">
        <is>
          <t>VCB Gia Lai - Mr Bảo - 0988849465</t>
        </is>
      </c>
      <c r="K43" s="14" t="inlineStr">
        <is>
          <t>VCB Gia Lai - Mr Bảo - 0988849365</t>
        </is>
      </c>
    </row>
    <row r="44" outlineLevel="1" ht="15" customHeight="1">
      <c r="H44" s="8" t="inlineStr">
        <is>
          <t>VCB Gia Lai - Mr Chung - 0971012468</t>
        </is>
      </c>
      <c r="K44" s="8" t="inlineStr">
        <is>
          <t>VCB Gia Lai - Mr Chung - 0971002468</t>
        </is>
      </c>
    </row>
    <row r="45" outlineLevel="1" ht="15" customHeight="1">
      <c r="H45" s="14" t="inlineStr">
        <is>
          <t>VCB Gia Lai - Mr Dũng - 0986695599</t>
        </is>
      </c>
      <c r="K45" s="14" t="inlineStr">
        <is>
          <t>VCB Gia Lai - Mr Dũng - 0986694599</t>
        </is>
      </c>
    </row>
    <row r="46" ht="15" customHeight="1">
      <c r="H46" s="8" t="inlineStr">
        <is>
          <t>VCB Gia Lai - Mr Quốc - 0973382377</t>
        </is>
      </c>
      <c r="K46" s="8" t="inlineStr">
        <is>
          <t>VCB Gia Lai - Mr Quốc - 0973382277</t>
        </is>
      </c>
    </row>
    <row r="47" ht="15" customHeight="1">
      <c r="H47" s="8" t="inlineStr">
        <is>
          <t>VCB Gia Lai - Mr. An - 0908357358</t>
        </is>
      </c>
      <c r="K47" s="8" t="inlineStr">
        <is>
          <t>VCB Gia Lai - Mr. An - 0908357258</t>
        </is>
      </c>
    </row>
    <row r="48" ht="15" customHeight="1">
      <c r="H48" s="8" t="inlineStr">
        <is>
          <t>VCB Gia Lai - Mr. Biển - 0987531815</t>
        </is>
      </c>
      <c r="K48" s="8" t="inlineStr">
        <is>
          <t>VCB Gia Lai - Mr. Biển - 0987231815</t>
        </is>
      </c>
    </row>
    <row r="49" outlineLevel="1" ht="15" customHeight="1">
      <c r="H49" s="8" t="inlineStr">
        <is>
          <t>VCB Gia Lai - Mr. Chí - 0989257355</t>
        </is>
      </c>
      <c r="K49" s="8" t="inlineStr">
        <is>
          <t>VCB Gia Lai - Mr. Chí - 0989247355</t>
        </is>
      </c>
    </row>
    <row r="50" outlineLevel="1" ht="15" customHeight="1">
      <c r="H50" s="8" t="inlineStr">
        <is>
          <t>VCB Gia Lai - Mr. Duy - 0394892676</t>
        </is>
      </c>
      <c r="K50" s="8" t="inlineStr">
        <is>
          <t>VCB Gia Lai - Mr. Duy - 0393892676</t>
        </is>
      </c>
    </row>
    <row r="51" outlineLevel="1" ht="18" customHeight="1">
      <c r="H51" s="8" t="inlineStr">
        <is>
          <t>VCB Gia Lai - Mr. Hạnh - 0968698125</t>
        </is>
      </c>
      <c r="K51" s="8" t="inlineStr">
        <is>
          <t>VCB Gia Lai - Mr. Hạnh - 0968691125</t>
        </is>
      </c>
    </row>
    <row r="52" outlineLevel="1" ht="15" customHeight="1">
      <c r="H52" s="8" t="inlineStr">
        <is>
          <t>VCB Gia Lai - Mr. Hiếu - 0983543155</t>
        </is>
      </c>
      <c r="K52" s="8" t="inlineStr">
        <is>
          <t>VCB Gia Lai - Mr. Hiếu - 0983523155</t>
        </is>
      </c>
    </row>
    <row r="53" outlineLevel="1" ht="15" customHeight="1">
      <c r="H53" s="8" t="inlineStr">
        <is>
          <t>VCB Gia Lai - Mr. Huệ - 0982527259</t>
        </is>
      </c>
      <c r="K53" s="8" t="inlineStr">
        <is>
          <t>VCB Gia Lai - Mr. Huệ - 0982227259</t>
        </is>
      </c>
    </row>
    <row r="54" outlineLevel="1" ht="15" customHeight="1">
      <c r="H54" s="8" t="inlineStr">
        <is>
          <t>VCB Gia Lai - Mr. Khoa - 0394941787</t>
        </is>
      </c>
      <c r="K54" s="8" t="inlineStr">
        <is>
          <t>VCB Gia Lai - Mr. Khoa - 0394940787</t>
        </is>
      </c>
    </row>
    <row r="55" outlineLevel="1" ht="17.25" customHeight="1">
      <c r="H55" s="8" t="inlineStr">
        <is>
          <t>VCB Gia Lai - Mr. Nhật - 0934683488</t>
        </is>
      </c>
      <c r="K55" s="8" t="inlineStr">
        <is>
          <t>VCB Gia Lai - Mr. Nhật - 0914683488</t>
        </is>
      </c>
    </row>
    <row r="56" outlineLevel="1" ht="15.75" customHeight="1">
      <c r="H56" s="8" t="inlineStr">
        <is>
          <t>VCB Gia Lai - Ms. Đức - 0356766939</t>
        </is>
      </c>
      <c r="K56" s="8" t="inlineStr">
        <is>
          <t>VCB Gia Lai - Ms. Đức - 0346763939</t>
        </is>
      </c>
    </row>
    <row r="57" outlineLevel="1" ht="15" customHeight="1">
      <c r="H57" s="8" t="inlineStr">
        <is>
          <t>VCB Gia Lai - Ms. Huyền - 0979788115</t>
        </is>
      </c>
      <c r="K57" s="8" t="inlineStr">
        <is>
          <t>VCB Gia Lai - Ms. Huyền - 0979708117</t>
        </is>
      </c>
    </row>
    <row r="58" outlineLevel="1" ht="15" customHeight="1">
      <c r="H58" s="8" t="inlineStr">
        <is>
          <t>VCB Gia Lai - Ms. Thùy - 0904347401</t>
        </is>
      </c>
      <c r="K58" s="8" t="inlineStr">
        <is>
          <t>VCB Gia Lai - Ms. Thùy - 0902247401</t>
        </is>
      </c>
    </row>
    <row r="59" outlineLevel="1" ht="17.25" customHeight="1">
      <c r="H59" s="8" t="inlineStr">
        <is>
          <t>VCB Gia Lai - Ms. Yến - 0935837579</t>
        </is>
      </c>
      <c r="K59" s="8" t="inlineStr">
        <is>
          <t>VCB Gia Lai - Ms. Yến - 0934827579</t>
        </is>
      </c>
    </row>
    <row r="60" outlineLevel="1" ht="15" customHeight="1">
      <c r="G60" s="32" t="n"/>
      <c r="H60" s="8" t="inlineStr">
        <is>
          <t>VCB Gia Lai - Mr Cường - 0905569787</t>
        </is>
      </c>
      <c r="K60" s="8" t="inlineStr">
        <is>
          <t>VCB Gia Lai - Mr Cường - 0905509717</t>
        </is>
      </c>
    </row>
    <row r="61" outlineLevel="1" ht="15" customHeight="1">
      <c r="H61" s="8" t="inlineStr">
        <is>
          <t>VCB Gia Lai - Mr Hoàng - 0905731389</t>
        </is>
      </c>
      <c r="K61" s="8" t="inlineStr">
        <is>
          <t>VCB Gia Lai - Mr Hoàng - 0905731279</t>
        </is>
      </c>
    </row>
    <row r="62" outlineLevel="1" ht="15" customHeight="1">
      <c r="H62" s="8" t="inlineStr">
        <is>
          <t>VCB Kon Tum - Mr Cường - 0969989557</t>
        </is>
      </c>
      <c r="K62" s="8" t="inlineStr">
        <is>
          <t>VCB Kon Tum - Mr Cường - 0969986557</t>
        </is>
      </c>
    </row>
    <row r="63" outlineLevel="1" ht="15" customHeight="1">
      <c r="H63" s="8" t="inlineStr">
        <is>
          <t>VCB Kon Tum - Mr Dũng - 0379497883</t>
        </is>
      </c>
      <c r="K63" s="8" t="inlineStr">
        <is>
          <t>VCB Kon Tum - Mr Dũng - 0379497823</t>
        </is>
      </c>
    </row>
    <row r="64" outlineLevel="1" ht="15" customHeight="1">
      <c r="H64" s="8" t="inlineStr">
        <is>
          <t>VCB Kon Tum - Mr Linh - 0936253879</t>
        </is>
      </c>
      <c r="K64" s="8" t="inlineStr">
        <is>
          <t>VCB Kon Tum - Mr Linh - 0936053879</t>
        </is>
      </c>
    </row>
    <row r="65" outlineLevel="1" ht="15" customHeight="1">
      <c r="H65" s="8" t="inlineStr">
        <is>
          <t>VCB Kon Tum - Mr Phong - 0901686789</t>
        </is>
      </c>
      <c r="K65" s="8" t="inlineStr">
        <is>
          <t>VCB Kon Tum - Mr Phong - 0901685789</t>
        </is>
      </c>
    </row>
    <row r="66" outlineLevel="1" ht="15" customHeight="1">
      <c r="H66" s="8" t="inlineStr">
        <is>
          <t>VCB Kon Tum - Mr Trường 0979197889</t>
        </is>
      </c>
      <c r="K66" s="8" t="inlineStr">
        <is>
          <t>VCB Kon Tum - Mr Trường 0979197189</t>
        </is>
      </c>
    </row>
    <row r="67" outlineLevel="1" ht="15" customHeight="1">
      <c r="H67" s="8" t="inlineStr">
        <is>
          <t>VCB Kon Tum - Mr. Dương - 0911737977</t>
        </is>
      </c>
      <c r="K67" s="8" t="inlineStr">
        <is>
          <t>VCB Kon Tum - Mr. Dương - 0911717977</t>
        </is>
      </c>
    </row>
    <row r="68" outlineLevel="1" ht="18.75" customHeight="1">
      <c r="H68" s="8" t="inlineStr">
        <is>
          <t>VCB Kon Tum - Mr. Đăng - 0366097829</t>
        </is>
      </c>
      <c r="K68" s="8" t="inlineStr">
        <is>
          <t>VCB Kon Tum - Mr. Đăng - 0366097827</t>
        </is>
      </c>
    </row>
    <row r="69" ht="15" customHeight="1">
      <c r="H69" s="8" t="inlineStr">
        <is>
          <t>VCB Kon Tum - Ms Châu - 0347661113</t>
        </is>
      </c>
      <c r="K69" s="8" t="inlineStr">
        <is>
          <t>VCB Kon Tum - Ms Châu - 0347661111</t>
        </is>
      </c>
    </row>
    <row r="70" ht="15" customHeight="1">
      <c r="H70" s="8" t="inlineStr">
        <is>
          <t>VCB Kon Tum - Ms Huyền - 0905288468</t>
        </is>
      </c>
      <c r="K70" s="8" t="inlineStr">
        <is>
          <t>VCB Kon Tum - Ms Huyền - 0905258468</t>
        </is>
      </c>
    </row>
    <row r="71" ht="15" customHeight="1">
      <c r="H71" s="8" t="inlineStr">
        <is>
          <t>VCB Kon Tum - Ms Nhung - 0942399091</t>
        </is>
      </c>
      <c r="K71" s="8" t="inlineStr">
        <is>
          <t>VCB Kon Tum - Ms Nhung - 0942399099</t>
        </is>
      </c>
    </row>
    <row r="72" outlineLevel="1" ht="18" customHeight="1">
      <c r="H72" s="8" t="inlineStr">
        <is>
          <t>VCB Kon Tum - Ms Thúy - 0933549159</t>
        </is>
      </c>
      <c r="K72" s="8" t="inlineStr">
        <is>
          <t>VCB Kon Tum - Ms Thúy - 0933149159</t>
        </is>
      </c>
    </row>
    <row r="73" outlineLevel="1" ht="15" customHeight="1">
      <c r="H73" s="8" t="inlineStr">
        <is>
          <t>VCB Ngọc Hồi - Mr. Cường - 0971765333</t>
        </is>
      </c>
      <c r="K73" s="8" t="inlineStr">
        <is>
          <t>VCB Ngọc Hồi - Mr. Cường - 0971755333</t>
        </is>
      </c>
    </row>
    <row r="74" outlineLevel="1" ht="15" customHeight="1">
      <c r="H74" s="33" t="inlineStr">
        <is>
          <t>Viettinbank Kon Tum - Mr. Triều - 0822328285</t>
        </is>
      </c>
      <c r="K74" s="8" t="inlineStr">
        <is>
          <t>Viettinbank - Mr. Triều - 0822328282</t>
        </is>
      </c>
    </row>
    <row r="75" outlineLevel="1" ht="15" customHeight="1">
      <c r="H75" s="33" t="inlineStr">
        <is>
          <t>BIDV Nam Gia Lai - chị Huyền - 0905359835</t>
        </is>
      </c>
      <c r="K75" s="8" t="inlineStr">
        <is>
          <t>BIDV Nam Gia Lai - chị Huyền - 0905359835</t>
        </is>
      </c>
    </row>
    <row r="76" outlineLevel="1" ht="15" customHeight="1">
      <c r="H76" s="33" t="inlineStr">
        <is>
          <t>VCB Gia Lai - Ms. Huyền - 0942670909</t>
        </is>
      </c>
      <c r="K76" s="8" t="inlineStr">
        <is>
          <t>VCB Gia Lai - Ms. Huyền - 0942670909</t>
        </is>
      </c>
    </row>
    <row r="77" outlineLevel="1" ht="15" customHeight="1">
      <c r="H77" s="33" t="inlineStr">
        <is>
          <t>Sacombank Đăk Lắc - Mr Tuấn - 0977487743</t>
        </is>
      </c>
      <c r="K77" s="8" t="inlineStr">
        <is>
          <t>VCB Đắk Lắk - Chị Thủy trưởng phòng CN - 0977667689</t>
        </is>
      </c>
      <c r="L77" s="25" t="n">
        <v>1</v>
      </c>
      <c r="N77" s="1" t="n">
        <v>1</v>
      </c>
    </row>
    <row r="78" outlineLevel="1" ht="19.5" customHeight="1">
      <c r="H78" s="33" t="inlineStr">
        <is>
          <t>VCB Đắk Nông - Mr. Bec Lin - 0905351357</t>
        </is>
      </c>
      <c r="K78" s="8" t="inlineStr">
        <is>
          <t>VCB Đắk Lắk - Anh Giang trưởng phòng DN - 0905197666</t>
        </is>
      </c>
      <c r="L78" s="25" t="n"/>
      <c r="N78" s="1" t="n"/>
    </row>
    <row r="79" outlineLevel="1" ht="19.5" customHeight="1">
      <c r="H79" s="33" t="inlineStr">
        <is>
          <t>VCB Đắk Nông - Như Ý - 0969742048</t>
        </is>
      </c>
      <c r="I79" t="inlineStr">
        <is>
          <t>74 Huỳnh Thúc Kháng, P. Nghĩa Thành, TP. Gia Nghĩa, T. Đắk Nông</t>
        </is>
      </c>
      <c r="K79" s="8" t="inlineStr">
        <is>
          <t>VCB Đắk Lắk - Chị Hoa trưởng phòng XLN - 0979776939</t>
        </is>
      </c>
      <c r="L79" s="25" t="n"/>
      <c r="N79" s="1" t="n"/>
    </row>
    <row r="80" outlineLevel="1" ht="19.5" customHeight="1">
      <c r="H80" s="33" t="inlineStr">
        <is>
          <t>VCB Đắk Lắk - Mr. Chiến - 0905816363</t>
        </is>
      </c>
      <c r="K80" s="8" t="inlineStr">
        <is>
          <t>VCB Đắk Lắk - Anh Cường trưởng PGD Phước An - 0905553000</t>
        </is>
      </c>
      <c r="L80" s="25" t="n">
        <v>2</v>
      </c>
      <c r="N80" s="1" t="n">
        <v>2</v>
      </c>
    </row>
    <row r="81" outlineLevel="1" ht="18" customHeight="1">
      <c r="H81" s="33" t="inlineStr">
        <is>
          <t>VCB Đắk Lắk - Chúc Phương - 0906847503</t>
        </is>
      </c>
      <c r="K81" s="8" t="inlineStr">
        <is>
          <t>VCB Đắk Lắk - Anh Ninh trưởng PGD Quang Trung - 0914010326</t>
        </is>
      </c>
      <c r="L81" s="25" t="n">
        <v>3</v>
      </c>
      <c r="N81" s="1" t="n">
        <v>3</v>
      </c>
    </row>
    <row r="82" outlineLevel="1" ht="21" customHeight="1">
      <c r="H82" s="33" t="n"/>
      <c r="K82" s="8" t="inlineStr">
        <is>
          <t>VCB Đắk Lắk - Thảo trưởng PGD Tất Thành - 0945782244</t>
        </is>
      </c>
      <c r="L82" s="25" t="n">
        <v>4</v>
      </c>
      <c r="N82" s="1" t="n">
        <v>4</v>
      </c>
    </row>
    <row r="83" outlineLevel="1" ht="15" customHeight="1">
      <c r="H83" s="33" t="inlineStr">
        <is>
          <t>VCB Vinh - Ms. Hương - 0984067716</t>
        </is>
      </c>
      <c r="K83" s="8" t="inlineStr">
        <is>
          <t>VCB Đắk Lắk - Anh Chinh trưởng PGD Eakar - 0905359141</t>
        </is>
      </c>
      <c r="L83" s="25" t="n">
        <v>5</v>
      </c>
      <c r="N83" s="1" t="n"/>
    </row>
    <row r="84" outlineLevel="1" ht="18" customHeight="1">
      <c r="H84" s="33" t="inlineStr">
        <is>
          <t>VCB Đắk Lắk - Mr. Phú - 0906510379</t>
        </is>
      </c>
      <c r="K84" s="8" t="inlineStr">
        <is>
          <t>VCB Đắk Lắk - Anh Nam trưởng PGD Cư Kuin - 0905359141</t>
        </is>
      </c>
      <c r="L84" s="25" t="n">
        <v>6</v>
      </c>
    </row>
    <row r="85" outlineLevel="1" ht="15" customHeight="1">
      <c r="H85" s="33" t="inlineStr">
        <is>
          <t>VCB Đắk Lắk - Mr. Mạnh - 0988215979</t>
        </is>
      </c>
      <c r="K85" s="8" t="inlineStr">
        <is>
          <t>VCB Đắk Nông - Anh Tùng trưởng phòng - 0989233456</t>
        </is>
      </c>
      <c r="L85" s="25" t="n">
        <v>7</v>
      </c>
    </row>
    <row r="86" outlineLevel="1" ht="19.5" customHeight="1">
      <c r="H86" s="33" t="inlineStr">
        <is>
          <t>SeaBank Đắk Lắk - Mr. Trí - 0918382480</t>
        </is>
      </c>
      <c r="K86" s="8" t="inlineStr">
        <is>
          <t>VCB Đắk Nông - Hùng trưởng phòng QLN - 0901440286</t>
        </is>
      </c>
      <c r="L86" s="25" t="n"/>
    </row>
    <row r="87" outlineLevel="1" ht="15" customHeight="1">
      <c r="H87" s="33" t="inlineStr">
        <is>
          <t>VCB Đắk Lắk - Mr. Hùng - 0917506338</t>
        </is>
      </c>
      <c r="K87" s="33" t="inlineStr">
        <is>
          <t>Sacombank Đăk Lắc - Mr Tuấn - 0977477743</t>
        </is>
      </c>
      <c r="L87" s="25" t="n">
        <v>8</v>
      </c>
      <c r="O87" s="35" t="inlineStr">
        <is>
          <t>LỊCH TRÌNH CÔNG TÁC ĐĂK LĂK - ĐĂK NÔNG</t>
        </is>
      </c>
      <c r="P87" s="106" t="n"/>
      <c r="Q87" s="107" t="n"/>
    </row>
    <row r="88" outlineLevel="1" ht="15" customHeight="1">
      <c r="H88" s="33" t="inlineStr">
        <is>
          <t>MB AMC - Mr. Hải - 0967243676</t>
        </is>
      </c>
      <c r="K88" s="33" t="inlineStr">
        <is>
          <t>VCB Đắk Nông - Mr. Bec Lin - 0905350357</t>
        </is>
      </c>
      <c r="L88" s="25" t="n">
        <v>9</v>
      </c>
      <c r="O88" s="35" t="inlineStr">
        <is>
          <t>Thời gian</t>
        </is>
      </c>
      <c r="P88" s="35" t="inlineStr">
        <is>
          <t>Nội dung</t>
        </is>
      </c>
      <c r="Q88" s="35" t="inlineStr">
        <is>
          <t>GHI CHÚ</t>
        </is>
      </c>
    </row>
    <row r="89" outlineLevel="1" ht="15" customHeight="1">
      <c r="H89" s="33" t="inlineStr">
        <is>
          <t>SeaBank Đắk Lắk - Mr. Vũ - 0934856816</t>
        </is>
      </c>
      <c r="K89" s="33" t="inlineStr">
        <is>
          <t>VCB Đắk Nông - Như Ý - 0969741048</t>
        </is>
      </c>
      <c r="O89" s="36" t="n">
        <v>45665</v>
      </c>
      <c r="P89" s="37" t="inlineStr">
        <is>
          <t>Tặng quà tết: VCB Đắk Lắk, VCB PGD Phước An, VCB PGD Ea Kar</t>
        </is>
      </c>
      <c r="Q89" s="15" t="n"/>
    </row>
    <row r="90" outlineLevel="1" ht="28.5" customHeight="1">
      <c r="H90" s="38" t="inlineStr">
        <is>
          <t>VCB Đắk Nông - Mr. Tùng (Trưởng phòng) - 0989833456</t>
        </is>
      </c>
      <c r="K90" s="33" t="inlineStr">
        <is>
          <t>VCB Đắk Lắk - Mr. Chiến - 0905716363</t>
        </is>
      </c>
      <c r="O90" s="36" t="n">
        <v>45666</v>
      </c>
      <c r="P90" s="37" t="inlineStr">
        <is>
          <t>Tặng quà tết: VCB Bắc Đắk Lắk, VCB PGD Quang Trung, VCB PGD Tất Thành, VCB PGD Cư Kuin</t>
        </is>
      </c>
      <c r="Q90" s="15" t="n"/>
    </row>
    <row r="91" outlineLevel="1" ht="15" customHeight="1">
      <c r="H91" s="33" t="inlineStr">
        <is>
          <t>VP Bank - Đắk Nông - Mr. Mạnh - 0973499199</t>
        </is>
      </c>
      <c r="K91" s="33" t="inlineStr">
        <is>
          <t>VCB Đắk Lắk - Chúc Phương - 0906847403</t>
        </is>
      </c>
      <c r="O91" s="36" t="n">
        <v>45667</v>
      </c>
      <c r="P91" s="37" t="inlineStr">
        <is>
          <t>Tặng quà tết: VCB Đăk Nông</t>
        </is>
      </c>
      <c r="Q91" s="15" t="n"/>
    </row>
    <row r="92">
      <c r="H92" s="33" t="inlineStr">
        <is>
          <t>MBAMC - Mr. Ngọc Anh - 0931729449</t>
        </is>
      </c>
      <c r="K92" s="33" t="n"/>
      <c r="O92" s="36" t="n">
        <v>45668</v>
      </c>
      <c r="P92" s="15" t="inlineStr">
        <is>
          <t>Tất niên Văn phòng tây nguyên</t>
        </is>
      </c>
      <c r="Q92" s="39" t="inlineStr">
        <is>
          <t>Trưa hoặc chiều</t>
        </is>
      </c>
    </row>
    <row r="93" ht="18" customHeight="1">
      <c r="H93" s="33" t="inlineStr">
        <is>
          <t>SeaBank Đắk Lắk - Mr. Phúc - 0358893778</t>
        </is>
      </c>
      <c r="K93" s="33" t="inlineStr">
        <is>
          <t>VCB Vinh - Ms. Hương - 0984067216</t>
        </is>
      </c>
      <c r="O93" s="22" t="n"/>
      <c r="P93" s="22" t="n"/>
      <c r="Q93" s="22" t="n"/>
    </row>
    <row r="94" ht="20.25" customHeight="1">
      <c r="H94" s="33" t="inlineStr">
        <is>
          <t>VCB Bắc Đắk Lắk - Mr. Tuân - 0947869899</t>
        </is>
      </c>
      <c r="K94" s="33" t="inlineStr">
        <is>
          <t>VCB Đắk Lắk - Mr. Phú - 0906510079</t>
        </is>
      </c>
      <c r="O94" s="22" t="n"/>
      <c r="P94" s="22" t="n"/>
      <c r="Q94" s="22" t="n"/>
    </row>
    <row r="95" outlineLevel="1" ht="17.45" customHeight="1">
      <c r="H95" s="33" t="inlineStr">
        <is>
          <t>VCB Đắk Lắk - Mr. Tấn - 0914666787</t>
        </is>
      </c>
      <c r="K95" s="33" t="inlineStr">
        <is>
          <t>VCB Đắk Lắk - Mr. Mạnh - 0988212979</t>
        </is>
      </c>
      <c r="O95" s="22" t="n"/>
      <c r="P95" s="22" t="n"/>
      <c r="Q95" s="22" t="n"/>
    </row>
    <row r="96" outlineLevel="1">
      <c r="H96" s="33" t="inlineStr">
        <is>
          <t>MB AMC - Mr. Linh - 0366351567</t>
        </is>
      </c>
      <c r="K96" s="33" t="inlineStr">
        <is>
          <t>SeaBank Đắk Lắk - Mr. Trí - 0918302480</t>
        </is>
      </c>
    </row>
    <row r="97" outlineLevel="1" ht="67.5" customHeight="1">
      <c r="H97" s="33" t="inlineStr">
        <is>
          <t>MB AMC - Mr Hoàng - 0902633450</t>
        </is>
      </c>
      <c r="K97" s="33" t="inlineStr">
        <is>
          <t>VCB Đắk Lắk - Mr. Hùng - 0917504338</t>
        </is>
      </c>
    </row>
    <row r="98" outlineLevel="1" ht="15" customHeight="1">
      <c r="H98" s="15" t="inlineStr">
        <is>
          <t>VCB Bắc Đắk Lắk - Mr. Tấn - 0932418888</t>
        </is>
      </c>
      <c r="K98" s="33" t="inlineStr">
        <is>
          <t>MB AMC - Mr. Hải - 0967213676</t>
        </is>
      </c>
    </row>
    <row r="99" outlineLevel="1" ht="15" customHeight="1">
      <c r="H99" s="15" t="inlineStr">
        <is>
          <t>VCB Đắk Lắk - Mr. Thắng - 0904563179</t>
        </is>
      </c>
      <c r="K99" s="33" t="inlineStr">
        <is>
          <t>SeaBank Đắk Lắk - Mr. Vũ - 0934826816</t>
        </is>
      </c>
    </row>
    <row r="100" outlineLevel="1" ht="14.25" customHeight="1">
      <c r="H100" s="15" t="inlineStr">
        <is>
          <t>VCB Đắk Nông - Mr. Tâm -0963855651</t>
        </is>
      </c>
      <c r="K100" s="38" t="inlineStr">
        <is>
          <t>VCB Đắk Nông - Mr. Tùng (Trưởng phòng) - 0989233456</t>
        </is>
      </c>
    </row>
    <row r="101" outlineLevel="1" ht="18" customHeight="1">
      <c r="H101" s="15" t="inlineStr">
        <is>
          <t>VCB Đắk Lắk - Ms. Hà - 0986942594</t>
        </is>
      </c>
      <c r="K101" s="33" t="inlineStr">
        <is>
          <t>VP Bank - Đắk Nông - Mr. Mạnh - 0973459199</t>
        </is>
      </c>
    </row>
    <row r="102" outlineLevel="1" ht="20.25" customHeight="1">
      <c r="H102" s="15" t="inlineStr">
        <is>
          <t>VCB Đắk Lắk - Mr. Cường - 0905271120</t>
        </is>
      </c>
      <c r="K102" s="33" t="inlineStr">
        <is>
          <t>MBAMC - Mr. Ngọc Anh - 0931829449</t>
        </is>
      </c>
    </row>
    <row r="103" outlineLevel="1" ht="21.75" customHeight="1">
      <c r="H103" s="15" t="inlineStr">
        <is>
          <t>MB AMC - Mr. Thanh - 0935664588</t>
        </is>
      </c>
      <c r="K103" s="33" t="inlineStr">
        <is>
          <t>SeaBank Đắk Lắk - Mr. Phúc - 0358863778</t>
        </is>
      </c>
    </row>
    <row r="104" outlineLevel="1" ht="14.25" customHeight="1">
      <c r="H104" s="15" t="inlineStr">
        <is>
          <t>VCB Đăk Nông - Mr Trung - 0976787818</t>
        </is>
      </c>
      <c r="K104" s="33" t="inlineStr">
        <is>
          <t>VCB Bắc Đắk Lắk - Mr. Tuân - 0947859899</t>
        </is>
      </c>
    </row>
    <row r="105" outlineLevel="1" ht="18.75" customHeight="1">
      <c r="H105" s="15" t="inlineStr">
        <is>
          <t>VP Bank - Đắk Nông - Mr. Cảnh - 0388225846</t>
        </is>
      </c>
      <c r="K105" s="33" t="inlineStr">
        <is>
          <t>VCB Đắk Lắk - Mr. Tấn - 0914666687</t>
        </is>
      </c>
    </row>
    <row r="106" outlineLevel="1" ht="15.75" customHeight="1">
      <c r="H106" s="37" t="inlineStr">
        <is>
          <t>VCB Đắk Lắk PGD Phước An - Mr Khải - 0899768383</t>
        </is>
      </c>
      <c r="K106" s="33" t="inlineStr">
        <is>
          <t>MB AMC - Mr. Linh - 0366341567</t>
        </is>
      </c>
    </row>
    <row r="107" outlineLevel="1" ht="18" customHeight="1">
      <c r="H107" s="15" t="inlineStr">
        <is>
          <t>VCB Đắk Lắk - Ms. Nhung - 0919631291</t>
        </is>
      </c>
      <c r="K107" s="33" t="inlineStr">
        <is>
          <t>MB AMC - Mr Hoàng - 0902133450</t>
        </is>
      </c>
    </row>
    <row r="108" outlineLevel="1" ht="15" customHeight="1">
      <c r="H108" s="15" t="inlineStr">
        <is>
          <t>VCB Đắk Lắk - Ms. Hòa - 0905886959</t>
        </is>
      </c>
      <c r="K108" s="15" t="inlineStr">
        <is>
          <t>VCB Bắc Đắk Lắk - Mr. Tấn - 0932413888</t>
        </is>
      </c>
    </row>
    <row r="109" outlineLevel="1" ht="14.25" customHeight="1">
      <c r="H109" s="15" t="inlineStr">
        <is>
          <t>VCB Đắk Lắk - Mrs. Thùy - 0901948379</t>
        </is>
      </c>
      <c r="K109" s="15" t="inlineStr">
        <is>
          <t>VCB Đắk Lắk - Mr. Thắng - 0904573179</t>
        </is>
      </c>
    </row>
    <row r="110" outlineLevel="1" ht="15" customHeight="1">
      <c r="H110" s="33" t="inlineStr">
        <is>
          <t>VCB Đắk Lắk - Ms. Thảo - 0327247868</t>
        </is>
      </c>
      <c r="K110" s="15" t="inlineStr">
        <is>
          <t>VCB Đắk Nông - Mr. Tâm -0963755651</t>
        </is>
      </c>
    </row>
    <row r="111" outlineLevel="1" ht="15" customHeight="1">
      <c r="H111" s="33" t="inlineStr">
        <is>
          <t>VCB Đắk Nông - Ms. Hồng - 0911357379</t>
        </is>
      </c>
      <c r="K111" s="15" t="inlineStr">
        <is>
          <t>VCB Đắk Lắk - Ms. Hà - 0989942594</t>
        </is>
      </c>
    </row>
    <row r="112" outlineLevel="1" ht="15" customHeight="1">
      <c r="H112" s="33" t="inlineStr">
        <is>
          <t>MB AMC - Mr. Vũ - 0981276382</t>
        </is>
      </c>
      <c r="K112" s="15" t="inlineStr">
        <is>
          <t>VCB Đắk Lắk - Mr. Cường - 0905201120</t>
        </is>
      </c>
    </row>
    <row r="113" outlineLevel="1" ht="14.25" customHeight="1">
      <c r="H113" s="33" t="inlineStr">
        <is>
          <t>VCB Đắk Nông - Mr Đề - 0918684646</t>
        </is>
      </c>
      <c r="K113" s="15" t="inlineStr">
        <is>
          <t>MB AMC - Mr. Thanh - 0935664588</t>
        </is>
      </c>
    </row>
    <row r="114" outlineLevel="1" ht="18" customHeight="1">
      <c r="H114" s="33" t="inlineStr">
        <is>
          <t>VCB Đắk Lắk - Mr. Dũng - 0916115279</t>
        </is>
      </c>
      <c r="K114" s="15" t="inlineStr">
        <is>
          <t>VCB Đăk Nông - Mr Trung - 0976780818</t>
        </is>
      </c>
    </row>
    <row r="115">
      <c r="H115" s="33" t="inlineStr">
        <is>
          <t>VCB Đắk Lắk PGD Tất Thành - Ms Tuyết - 0942378778</t>
        </is>
      </c>
      <c r="K115" s="15" t="inlineStr">
        <is>
          <t xml:space="preserve">VP Bank - Đắk Nông - Mr. Cảnh - 0388220846 </t>
        </is>
      </c>
    </row>
    <row r="116" ht="15" customHeight="1">
      <c r="H116" s="33" t="inlineStr">
        <is>
          <t>VCB Đắk Lắk PGD Tất Thành - Ms Vy - 0824854747</t>
        </is>
      </c>
      <c r="K116" s="37" t="inlineStr">
        <is>
          <t>VCB Đắk Lắk PGD Phước An - Mr Khải - 0899368383</t>
        </is>
      </c>
    </row>
    <row r="117" ht="18" customHeight="1">
      <c r="H117" s="33" t="inlineStr">
        <is>
          <t>BIDV Đắk Lắk - Mr. Tùng - 0948639963</t>
        </is>
      </c>
      <c r="K117" s="15" t="inlineStr">
        <is>
          <t>VCB Đắk Lắk - Ms. Nhung - 0919031291</t>
        </is>
      </c>
    </row>
    <row r="118" outlineLevel="1" ht="15.75" customHeight="1">
      <c r="H118" s="33" t="inlineStr">
        <is>
          <t>VCB Bắc Đắk Lắk - Ms. Thư - 0907120792</t>
        </is>
      </c>
      <c r="K118" s="15" t="inlineStr">
        <is>
          <t>VCB Đắk Lắk - Ms. Hòa - 0905686959</t>
        </is>
      </c>
    </row>
    <row r="119" outlineLevel="1">
      <c r="H119" s="33" t="inlineStr">
        <is>
          <t>MB AMC - Anh An - 0979043739</t>
        </is>
      </c>
      <c r="K119" s="15" t="inlineStr">
        <is>
          <t>VCB Đắk Lắk - Mrs. Thùy - 0901938379</t>
        </is>
      </c>
    </row>
    <row r="120" outlineLevel="1" ht="15.75" customHeight="1">
      <c r="H120" s="33" t="inlineStr">
        <is>
          <t>VCB Bắc Đắk Lắk - Mr. Thạch - 0932887998</t>
        </is>
      </c>
      <c r="I120" s="41" t="n"/>
      <c r="K120" s="33" t="inlineStr">
        <is>
          <t>VCB Đắk Lắk - Ms. Thảo - 0327287868</t>
        </is>
      </c>
    </row>
    <row r="121" outlineLevel="1" ht="15.75" customHeight="1">
      <c r="H121" s="33" t="inlineStr">
        <is>
          <t>VCB Đắk Lắk - Mr. Thành</t>
        </is>
      </c>
      <c r="I121" s="41" t="n"/>
      <c r="K121" s="33" t="inlineStr">
        <is>
          <t>VCB Đắk Nông - Ms. Hồng - 0911337379</t>
        </is>
      </c>
    </row>
    <row r="122" outlineLevel="1">
      <c r="H122" s="33" t="inlineStr">
        <is>
          <t>VCB Đắk Lắk PGD Ea Kar - Mr. Tuấn - 0368696228</t>
        </is>
      </c>
      <c r="I122" s="31" t="n"/>
      <c r="K122" s="33" t="inlineStr">
        <is>
          <t>MB AMC - Mr. Vũ - 0981226382</t>
        </is>
      </c>
    </row>
    <row r="123" outlineLevel="1">
      <c r="H123" s="33" t="inlineStr">
        <is>
          <t>VCB Đắk Lắk - Ms. Phượng - 0906887889</t>
        </is>
      </c>
      <c r="K123" s="33" t="inlineStr">
        <is>
          <t>VCB Đắk Nông - Mr Đề - 0918634646</t>
        </is>
      </c>
    </row>
    <row r="124" outlineLevel="1">
      <c r="H124" s="33" t="inlineStr">
        <is>
          <t>VCB Bắc Đắk Lắk - Mr Chỉnh - 0974693331</t>
        </is>
      </c>
      <c r="K124" s="33" t="inlineStr">
        <is>
          <t>VCB Đắk Lắk - Mr. Dũng - 0916105279</t>
        </is>
      </c>
    </row>
    <row r="125" outlineLevel="1" ht="20.25" customHeight="1">
      <c r="H125" s="33" t="inlineStr">
        <is>
          <t>VCB Đăk Nông - Ms. Phương - 0914772526</t>
        </is>
      </c>
      <c r="K125" s="33" t="inlineStr">
        <is>
          <t>VCB Đắk Lắk PGD Tất Thành - Ms Tuyết - 0942374778</t>
        </is>
      </c>
    </row>
    <row r="126" outlineLevel="1" ht="18" customHeight="1">
      <c r="H126" s="33" t="inlineStr">
        <is>
          <t>VCB Bắc Đắk Lắk - Ms. Hà - 0945394747</t>
        </is>
      </c>
      <c r="K126" s="33" t="inlineStr">
        <is>
          <t>VCB Đắk Lắk PGD Tất Thành - Ms Vy - 0824864747</t>
        </is>
      </c>
    </row>
    <row r="127" outlineLevel="1">
      <c r="H127" s="33" t="inlineStr">
        <is>
          <t>VCB Đăk Nông - Mr. Tình - 0857884848</t>
        </is>
      </c>
      <c r="I127" s="23" t="n"/>
      <c r="K127" s="33" t="inlineStr">
        <is>
          <t>BIDV Đắk Lắk - Mr. Tùng - 0948339963</t>
        </is>
      </c>
    </row>
    <row r="128" outlineLevel="1" ht="19.5" customHeight="1">
      <c r="H128" s="33" t="inlineStr">
        <is>
          <t>VCB Đắk Lắk PGD Tất Thành - Ms Thùy - 0906938379</t>
        </is>
      </c>
      <c r="I128" s="23" t="n"/>
      <c r="J128" s="42" t="n"/>
      <c r="K128" s="33" t="inlineStr">
        <is>
          <t>VCB Bắc Đắk Lắk - Ms. Thư - 0907110792</t>
        </is>
      </c>
    </row>
    <row r="129" outlineLevel="1">
      <c r="G129" s="43" t="n"/>
      <c r="H129" s="33" t="inlineStr">
        <is>
          <t>VCB Đắk Lắk - Mr Trọng Hùng - 0917514338</t>
        </is>
      </c>
      <c r="I129" s="40" t="n"/>
      <c r="J129" s="40" t="n"/>
      <c r="K129" s="33" t="inlineStr">
        <is>
          <t>MB AMC - Anh An - 0979033739</t>
        </is>
      </c>
    </row>
    <row r="130" outlineLevel="1">
      <c r="H130" s="33" t="inlineStr">
        <is>
          <t>VCB Gia Lai - Mr. Khánh - 0974814565</t>
        </is>
      </c>
      <c r="I130" s="42" t="n"/>
      <c r="K130" s="33" t="inlineStr">
        <is>
          <t>VCB Bắc Đắk Lắk - Mr. Thạch - 0932787998</t>
        </is>
      </c>
    </row>
    <row r="131" outlineLevel="1">
      <c r="H131" s="33" t="inlineStr">
        <is>
          <t>BIDV Nam Gia Lai - Mr. Cường - 0984742369</t>
        </is>
      </c>
      <c r="K131" s="33" t="inlineStr">
        <is>
          <t>VCB Đắk Lắk - Mr. Thành</t>
        </is>
      </c>
    </row>
    <row r="132" outlineLevel="1">
      <c r="H132" s="33" t="inlineStr">
        <is>
          <t>VCB Đắk Lắk - Ms. Phương - 0937132195</t>
        </is>
      </c>
      <c r="K132" s="33" t="inlineStr">
        <is>
          <t>VCB Đắk Lắk PGD Ea Kar - Mr. Tuấn - 0368496228</t>
        </is>
      </c>
    </row>
    <row r="133" outlineLevel="1">
      <c r="H133" s="33" t="inlineStr">
        <is>
          <t>VCB Đắk Lắk - Ms. Vượng - 098 8234464</t>
        </is>
      </c>
      <c r="K133" s="33" t="inlineStr">
        <is>
          <t>VCB Đắk Lắk - Ms. Phượng - 0906847889</t>
        </is>
      </c>
    </row>
    <row r="134" outlineLevel="1">
      <c r="H134" s="33" t="inlineStr">
        <is>
          <t>VCB Đắk Lắk PGD Phước An - Mr. Phú - 0948846099</t>
        </is>
      </c>
      <c r="K134" s="33" t="inlineStr">
        <is>
          <t>VCB Bắc Đắk Lắk - Mr Chỉnh - 0974633331</t>
        </is>
      </c>
    </row>
    <row r="135" outlineLevel="1">
      <c r="H135" s="33" t="inlineStr">
        <is>
          <t>VCB Đắk Nông - Mr. Lin - 0905354357</t>
        </is>
      </c>
      <c r="K135" s="33" t="inlineStr">
        <is>
          <t>VCB Đăk Nông - Ms. Phương - 0914072526</t>
        </is>
      </c>
    </row>
    <row r="136" outlineLevel="1">
      <c r="H136" s="33" t="inlineStr">
        <is>
          <t>VCB Đắk Lắk - Mr. Nam - 0967453488</t>
        </is>
      </c>
      <c r="K136" s="33" t="inlineStr">
        <is>
          <t>VCB Bắc Đắk Lắk - Ms. Hà - 0941394747</t>
        </is>
      </c>
    </row>
    <row r="137" outlineLevel="1" ht="15" customHeight="1">
      <c r="H137" s="33" t="inlineStr">
        <is>
          <t>VCB Đắk Lắk PGD Phước An - Mr. Chiến - 0905726363</t>
        </is>
      </c>
      <c r="K137" s="33" t="inlineStr">
        <is>
          <t>VCB Đăk Nông - Mr. Tình - 0857284848</t>
        </is>
      </c>
    </row>
    <row r="138">
      <c r="H138" s="33" t="inlineStr">
        <is>
          <t>VCB Đắk Lắk - Mr. Trung - 09763436364</t>
        </is>
      </c>
      <c r="K138" s="33" t="inlineStr">
        <is>
          <t>VCB Đắk Lắk PGD Tất Thành - Ms Thùy - 0901938379</t>
        </is>
      </c>
    </row>
    <row r="139" ht="16.5" customHeight="1">
      <c r="H139" s="33" t="inlineStr">
        <is>
          <t>VCB Đắk Lắk PGD Tất Thành - Ms. Tuyết - 0906652860</t>
        </is>
      </c>
      <c r="K139" s="33" t="inlineStr">
        <is>
          <t>VCB Đắk Lắk - Mr Trọng Hùng - 0917504338</t>
        </is>
      </c>
    </row>
    <row r="140" ht="19.5" customFormat="1" customHeight="1" s="28">
      <c r="A140" s="25" t="n"/>
      <c r="H140" s="33" t="inlineStr">
        <is>
          <t>VCB Đắk Lắk - Mr Khải - 0899468383</t>
        </is>
      </c>
      <c r="K140" s="33" t="inlineStr">
        <is>
          <t>VCB Gia Lai - Mr. Khánh - 0974814505</t>
        </is>
      </c>
    </row>
    <row r="141" outlineLevel="1" ht="16.5" customHeight="1">
      <c r="H141" s="33" t="inlineStr">
        <is>
          <t>VCB Đắk Lắk PGD Ea Kar - Mr. Thành - 0989351043</t>
        </is>
      </c>
      <c r="K141" s="33" t="inlineStr">
        <is>
          <t>BIDV Nam Gia Lai - Mr. Cường - 0984740369</t>
        </is>
      </c>
    </row>
    <row r="142" outlineLevel="1" ht="17.25" customHeight="1">
      <c r="H142" s="33" t="inlineStr">
        <is>
          <t>MB AMC ARR - Mr. Long - 0905266968</t>
        </is>
      </c>
      <c r="K142" s="33" t="inlineStr">
        <is>
          <t>VCB Đắk Lắk - Ms. Phương - 0937130195</t>
        </is>
      </c>
    </row>
    <row r="143" outlineLevel="1">
      <c r="H143" s="33" t="inlineStr">
        <is>
          <t>VCB Đắk Lắk - Ms. Dung - 0899380579</t>
        </is>
      </c>
      <c r="K143" s="33" t="inlineStr">
        <is>
          <t>VCB Đắk Lắk - Ms. Vượng - 098 8214464</t>
        </is>
      </c>
    </row>
    <row r="144" outlineLevel="1">
      <c r="H144" s="33" t="inlineStr">
        <is>
          <t>MB AMC Miền Trung - Mr. Chánh - 0703153789</t>
        </is>
      </c>
      <c r="K144" s="33" t="inlineStr">
        <is>
          <t>VCB Đắk Lắk PGD Phước An - Mr. Phú - 0948840099</t>
        </is>
      </c>
    </row>
    <row r="145" outlineLevel="1">
      <c r="H145" s="33" t="inlineStr">
        <is>
          <t>VCB Đắk Lắk - Mr. Quý - 0346841077</t>
        </is>
      </c>
      <c r="K145" s="33" t="inlineStr">
        <is>
          <t>VCB Đắk Nông - Mr. Lin - 0905350357</t>
        </is>
      </c>
    </row>
    <row r="146" outlineLevel="1" ht="18.75" customHeight="1">
      <c r="H146" s="15" t="inlineStr">
        <is>
          <t>VCB Bắc Đắk Lắk - Mr. Phát - 0763662728</t>
        </is>
      </c>
      <c r="K146" s="33" t="inlineStr">
        <is>
          <t>VCB Đắk Lắk - Mr. Nam - 0967451488</t>
        </is>
      </c>
    </row>
    <row r="147" outlineLevel="1" ht="16.5" customHeight="1">
      <c r="H147" s="33" t="inlineStr">
        <is>
          <t>VCB Bắc Hà Tĩnh - Mr. Nam - 0987752525</t>
        </is>
      </c>
      <c r="K147" s="33" t="inlineStr">
        <is>
          <t>VCB Đắk Lắk PGD Phước An - Mr. Chiến - 0905716363</t>
        </is>
      </c>
    </row>
    <row r="148" outlineLevel="1" ht="18.75" customHeight="1">
      <c r="H148" s="33" t="inlineStr">
        <is>
          <t>VCB Đắk Lắk - Thảo Nguyên - 0563186737</t>
        </is>
      </c>
      <c r="K148" s="33" t="inlineStr">
        <is>
          <t>VCB Đắk Lắk - Mr. Trung - 09762436364</t>
        </is>
      </c>
    </row>
    <row r="149" outlineLevel="1" ht="15" customHeight="1" thickBot="1">
      <c r="H149" s="15" t="inlineStr">
        <is>
          <t>Sacombank Krông Pắc - Mr. Trung - 0935759570</t>
        </is>
      </c>
      <c r="K149" s="33" t="inlineStr">
        <is>
          <t>VCB Đắk Lắk PGD Tất Thành - Ms. Tuyết - 0906452860</t>
        </is>
      </c>
    </row>
    <row r="150" outlineLevel="1" ht="18" customHeight="1" thickBot="1">
      <c r="G150" s="26" t="n"/>
      <c r="H150" s="33" t="inlineStr">
        <is>
          <t>VCB Đắk Lăk - PGD Quang Trung - Mr. Tâm - 0902428219</t>
        </is>
      </c>
      <c r="K150" s="33" t="inlineStr">
        <is>
          <t>VCB Đắk Lắk - Mr Khải - 0899368383</t>
        </is>
      </c>
      <c r="M150" s="44" t="n">
        <v>150</v>
      </c>
      <c r="N150" s="45" t="n">
        <v>7000000</v>
      </c>
      <c r="O150" s="69">
        <f>N150*M150</f>
        <v/>
      </c>
    </row>
    <row r="151" outlineLevel="1" ht="15" customHeight="1" thickBot="1">
      <c r="H151" s="33" t="inlineStr">
        <is>
          <t>VCB Đắk Lắk - Mrs. Thủy - 0912284241</t>
        </is>
      </c>
      <c r="K151" s="33" t="inlineStr">
        <is>
          <t>VCB Đắk Lắk PGD Ea Kar - Mr. Thành - 0989251043</t>
        </is>
      </c>
      <c r="M151" s="46" t="n">
        <v>179</v>
      </c>
      <c r="N151" s="47" t="n">
        <v>6600000</v>
      </c>
      <c r="O151" s="69">
        <f>N151*M151</f>
        <v/>
      </c>
    </row>
    <row r="152" outlineLevel="1" ht="33" customHeight="1">
      <c r="H152" s="33" t="inlineStr">
        <is>
          <t>VCB Đắk Lắk - Mrs. Quỳnh - 0914329877</t>
        </is>
      </c>
      <c r="K152" s="33" t="inlineStr">
        <is>
          <t>MB AMC ARR - Mr. Long - 0905226968</t>
        </is>
      </c>
      <c r="O152" s="42">
        <f>SUM(O150:O151)</f>
        <v/>
      </c>
    </row>
    <row r="153" outlineLevel="1" ht="19.5" customHeight="1">
      <c r="H153" s="33" t="inlineStr">
        <is>
          <t>Đức VCB Bắc Đắk Lắk - 0913033534</t>
        </is>
      </c>
      <c r="K153" s="33" t="inlineStr">
        <is>
          <t>VCB Đắk Lắk - Ms. Dung - 0899380079</t>
        </is>
      </c>
    </row>
    <row r="154" outlineLevel="1">
      <c r="H154" s="33" t="inlineStr">
        <is>
          <t>MB Hội An - Ms. Long - 0935543536</t>
        </is>
      </c>
      <c r="K154" s="33" t="inlineStr">
        <is>
          <t>MB AMC Miền Trung - Mr. Chánh - 0703152789</t>
        </is>
      </c>
    </row>
    <row r="155" outlineLevel="1" ht="15.75" customHeight="1">
      <c r="H155" s="33" t="inlineStr">
        <is>
          <t>VCB Bắc Đắk Lắk - Mrs. Trâm - 0832055054</t>
        </is>
      </c>
      <c r="K155" s="33" t="inlineStr">
        <is>
          <t>VCB Đắk Lắk - Mr. Quý - 0346840077</t>
        </is>
      </c>
    </row>
    <row r="156" outlineLevel="1" ht="17.65" customHeight="1">
      <c r="H156" s="33" t="inlineStr">
        <is>
          <t>Seabank Đắk Lắk - Mr. Thi - 0905398488</t>
        </is>
      </c>
      <c r="K156" s="15" t="inlineStr">
        <is>
          <t>VCB Bắc Đắk Lắk - Mr. Phát - 0763652728</t>
        </is>
      </c>
    </row>
    <row r="157" outlineLevel="1" ht="17.65" customHeight="1">
      <c r="H157" s="33" t="inlineStr">
        <is>
          <t>VCB Bắc Đắk Lắk - Mr. Hải - 0914718666</t>
        </is>
      </c>
      <c r="K157" s="33" t="inlineStr">
        <is>
          <t>VCB Bắc Hà Tĩnh - Mr. Nam - 0987732525</t>
        </is>
      </c>
    </row>
    <row r="158" outlineLevel="1" ht="18.4" customHeight="1">
      <c r="H158" s="33" t="inlineStr">
        <is>
          <t>VCB Đắk Lắk - Mr. Linh - 0935671038</t>
        </is>
      </c>
      <c r="K158" s="33" t="inlineStr">
        <is>
          <t>VCB Đắk Lắk - Thảo Nguyên - 0563086737</t>
        </is>
      </c>
    </row>
    <row r="159" outlineLevel="1" ht="15.75" customFormat="1" customHeight="1" s="28">
      <c r="A159" s="25" t="n"/>
      <c r="G159" s="30" t="n"/>
      <c r="H159" s="33" t="inlineStr">
        <is>
          <t>VCB Đắk Lắk - Mr. Nghĩa - 0967096789</t>
        </is>
      </c>
      <c r="K159" s="15" t="inlineStr">
        <is>
          <t>Sacombank Krông Pắc - Mr. Trung - 0935758570</t>
        </is>
      </c>
    </row>
    <row r="160" outlineLevel="1">
      <c r="H160" s="33" t="n"/>
      <c r="K160" s="33" t="inlineStr">
        <is>
          <t>VCB Đắk Lăk - PGD Quang Trung - Mr. Tâm - 0902428119</t>
        </is>
      </c>
    </row>
    <row r="161">
      <c r="H161" s="33" t="inlineStr">
        <is>
          <t>BIDV Đắk Lắk - Anh Hải - 0902755000</t>
        </is>
      </c>
      <c r="K161" s="33" t="inlineStr">
        <is>
          <t>VCB Đắk Lắk - Mrs. Thủy - 0912284141</t>
        </is>
      </c>
    </row>
    <row r="162" ht="16.5" customHeight="1">
      <c r="H162" s="33" t="inlineStr">
        <is>
          <t>VP Bank - Gia Lai - Chị Ngọc - 0972638579</t>
        </is>
      </c>
      <c r="K162" s="33" t="inlineStr">
        <is>
          <t>VCB Đắk Lắk - Mrs. Quỳnh - 0914329777</t>
        </is>
      </c>
    </row>
    <row r="163" ht="17.25" customHeight="1">
      <c r="H163" s="33" t="inlineStr">
        <is>
          <t>BIDV Buôn Hồ - Anh Khoa 0901605555</t>
        </is>
      </c>
      <c r="K163" s="33" t="inlineStr">
        <is>
          <t>Đức VCB Bắc Đắk Lắk - 0913033533</t>
        </is>
      </c>
    </row>
    <row r="164" outlineLevel="1">
      <c r="H164" s="33" t="inlineStr">
        <is>
          <t>VCB Đắk Lắk - Mr. Đạt - 0935732323</t>
        </is>
      </c>
      <c r="K164" s="33" t="inlineStr">
        <is>
          <t>MB Hội An - Ms. Long - 0935543538</t>
        </is>
      </c>
    </row>
    <row r="165" outlineLevel="1">
      <c r="H165" s="33" t="inlineStr">
        <is>
          <t>Sacombank Đắk Lắk - Mr. Định - 0799031531</t>
        </is>
      </c>
      <c r="K165" s="33" t="inlineStr">
        <is>
          <t>VCB Bắc Đắk Lắk - Mrs. Trâm - 0832055055</t>
        </is>
      </c>
    </row>
    <row r="166" outlineLevel="1" ht="18" customHeight="1">
      <c r="H166" s="33" t="inlineStr">
        <is>
          <t>MB Hội An - Ms. Quỳnh - 0768002604</t>
        </is>
      </c>
      <c r="K166" s="33" t="inlineStr">
        <is>
          <t>Seabank Đắk Lắk - Mr. Thi - 0905398388</t>
        </is>
      </c>
    </row>
    <row r="167" outlineLevel="1">
      <c r="H167" s="33" t="inlineStr">
        <is>
          <t>VCB Đắk Lắk - Ms. Xuân - 0367475375</t>
        </is>
      </c>
      <c r="K167" s="33" t="inlineStr">
        <is>
          <t>VCB Bắc Đắk Lắk - Mr. Hải - 0914708666</t>
        </is>
      </c>
    </row>
    <row r="168" outlineLevel="1">
      <c r="H168" s="33" t="inlineStr">
        <is>
          <t>VCB Đắk Lắk - Mr. Tùng - 0905361487</t>
        </is>
      </c>
      <c r="K168" s="33" t="inlineStr">
        <is>
          <t>VCB Đắk Lắk - Mr. Linh - 0935671008</t>
        </is>
      </c>
    </row>
    <row r="169" outlineLevel="1">
      <c r="H169" s="33" t="inlineStr">
        <is>
          <t>MB AMC - Mr. Tấn - 0905802689</t>
        </is>
      </c>
      <c r="K169" s="33" t="inlineStr">
        <is>
          <t>VCB Đắk Lắk - Mr. Nghĩa - 0967096089</t>
        </is>
      </c>
    </row>
    <row r="170" outlineLevel="1" ht="16.5" customHeight="1">
      <c r="H170" s="33" t="inlineStr">
        <is>
          <t>Vietinbank Gia Lai - Ms. Huyền - 0942670909</t>
        </is>
      </c>
      <c r="J170" s="49" t="n"/>
      <c r="K170" s="33" t="n"/>
    </row>
    <row r="171" outlineLevel="1" ht="16.5" customHeight="1">
      <c r="H171" s="50" t="inlineStr">
        <is>
          <t>BIDV Quy Nhơn - Mr. Hiếu - 0932404099</t>
        </is>
      </c>
      <c r="I171" s="51" t="n"/>
      <c r="J171" s="49" t="n"/>
      <c r="K171" s="33" t="inlineStr">
        <is>
          <t>BIDV Đắk Lắk - Anh Hải - 0902755005</t>
        </is>
      </c>
    </row>
    <row r="172" outlineLevel="1" ht="17.25" customHeight="1">
      <c r="H172" s="50" t="inlineStr">
        <is>
          <t>BIDV Đông Đắk Lăk - Mr. Sơn - 0964694747</t>
        </is>
      </c>
      <c r="I172" s="51" t="n"/>
      <c r="J172" s="49" t="n"/>
      <c r="K172" s="33" t="inlineStr">
        <is>
          <t>VP Bank - Gia Lai - Chị Ngọc - 0972638179</t>
        </is>
      </c>
    </row>
    <row r="173" outlineLevel="1">
      <c r="H173" s="50" t="inlineStr">
        <is>
          <t>BIDV Phố Núi - Chị Kim Anh - 0973200002</t>
        </is>
      </c>
      <c r="I173" s="51" t="n"/>
      <c r="K173" s="33" t="inlineStr">
        <is>
          <t>BIDV Buôn Hồ - Anh Khoa 0901600555</t>
        </is>
      </c>
    </row>
    <row r="174" outlineLevel="1" ht="17.25" customHeight="1">
      <c r="H174" s="50" t="inlineStr">
        <is>
          <t>Sacombank Kon Tum - Mr. Luân - 0967097789</t>
        </is>
      </c>
      <c r="I174" s="52" t="n"/>
      <c r="K174" s="33" t="inlineStr">
        <is>
          <t>VCB Đắk Lắk - Mr. Đạt - 0935712323</t>
        </is>
      </c>
    </row>
    <row r="175" outlineLevel="1">
      <c r="H175" s="50" t="inlineStr">
        <is>
          <t>VCB Nam Đà Nẵng - Mr. Điệp - 0935329246</t>
        </is>
      </c>
      <c r="K175" s="33" t="inlineStr">
        <is>
          <t>Sacombank Đắk Lắk - Mr. Định - 0799031031</t>
        </is>
      </c>
    </row>
    <row r="176" outlineLevel="1">
      <c r="H176" s="33" t="inlineStr">
        <is>
          <t>NHCS Đắk Lăk - Mr Trọng Hùng - 0917514338</t>
        </is>
      </c>
      <c r="K176" s="33" t="inlineStr">
        <is>
          <t>MB Hội An - Ms. Quỳnh - 0768002606</t>
        </is>
      </c>
    </row>
    <row r="177" outlineLevel="1">
      <c r="K177" s="33" t="inlineStr">
        <is>
          <t>VCB Đắk Lắk - Ms. Xuân - 0367475355</t>
        </is>
      </c>
    </row>
    <row r="178" outlineLevel="1">
      <c r="K178" s="33" t="inlineStr">
        <is>
          <t>VCB Đắk Lắk - Mr. Tùng - 0905361407</t>
        </is>
      </c>
    </row>
    <row r="179" outlineLevel="1" ht="16.5" customHeight="1">
      <c r="K179" s="33" t="inlineStr">
        <is>
          <t>BIDV Phố Núi - Chị Thúy - 0967096089</t>
        </is>
      </c>
    </row>
    <row r="180" outlineLevel="1">
      <c r="G180" s="32">
        <f>#REF!/3</f>
        <v/>
      </c>
    </row>
    <row r="181" outlineLevel="1"/>
    <row r="182" outlineLevel="1"/>
    <row r="183" outlineLevel="1" ht="15" customHeight="1"/>
    <row r="186" ht="18" customHeight="1"/>
    <row r="187" outlineLevel="1" ht="16.5" customHeight="1"/>
    <row r="188" outlineLevel="1"/>
    <row r="189" outlineLevel="1"/>
    <row r="190" outlineLevel="1" ht="17.45" customHeight="1"/>
    <row r="191" outlineLevel="1"/>
    <row r="192" outlineLevel="1"/>
    <row r="193" outlineLevel="1"/>
    <row r="194" outlineLevel="1"/>
    <row r="195" outlineLevel="1"/>
    <row r="196" outlineLevel="1"/>
    <row r="197" outlineLevel="1" ht="20.25" customHeight="1"/>
    <row r="198" outlineLevel="1"/>
    <row r="199" outlineLevel="1"/>
    <row r="200" outlineLevel="1"/>
    <row r="201" outlineLevel="1"/>
    <row r="202" outlineLevel="1" ht="21" customHeight="1"/>
    <row r="203" outlineLevel="1" ht="18" customHeight="1"/>
    <row r="204" outlineLevel="1"/>
    <row r="205" outlineLevel="1"/>
    <row r="206" outlineLevel="1"/>
    <row r="208" ht="17.25" customHeight="1"/>
    <row r="209" ht="17.25" customHeight="1"/>
    <row r="210" outlineLevel="1" ht="16.5" customHeight="1"/>
    <row r="211" outlineLevel="1"/>
    <row r="212" outlineLevel="1" ht="18" customFormat="1" customHeight="1" s="53">
      <c r="A212" s="55" t="n"/>
    </row>
    <row r="213" outlineLevel="1"/>
    <row r="214" outlineLevel="1"/>
    <row r="215" outlineLevel="1"/>
    <row r="216" outlineLevel="1" ht="16.5" customHeight="1"/>
    <row r="217" outlineLevel="1" ht="15" customHeight="1"/>
    <row r="218" outlineLevel="1" ht="18" customFormat="1" customHeight="1" s="28">
      <c r="A218" s="25" t="n"/>
    </row>
    <row r="219" outlineLevel="1"/>
    <row r="220" outlineLevel="1" ht="18" customHeight="1"/>
    <row r="221" outlineLevel="1"/>
    <row r="222" outlineLevel="1" ht="18.75" customFormat="1" customHeight="1" s="28">
      <c r="A222" s="25" t="n"/>
      <c r="G222" s="26" t="n"/>
    </row>
    <row r="223" outlineLevel="1" ht="16.5" customHeight="1"/>
    <row r="224" outlineLevel="1" ht="15.75" customFormat="1" customHeight="1" s="28">
      <c r="A224" s="25" t="n"/>
      <c r="G224" s="26" t="n"/>
    </row>
    <row r="225" outlineLevel="1" ht="17.25" customHeight="1"/>
    <row r="226" outlineLevel="1" ht="17.25" customHeight="1"/>
    <row r="227" outlineLevel="1"/>
    <row r="228" outlineLevel="1"/>
    <row r="229" outlineLevel="1" ht="17.25" customHeight="1"/>
    <row r="231" ht="17.25" customHeight="1"/>
    <row r="232" customFormat="1" s="28">
      <c r="A232" s="25" t="n"/>
    </row>
    <row r="233" outlineLevel="1" ht="20.25" customHeight="1"/>
    <row r="234" outlineLevel="1"/>
    <row r="235" outlineLevel="1" ht="33.75" customHeight="1"/>
    <row r="236" outlineLevel="1"/>
    <row r="237" outlineLevel="1"/>
    <row r="238" outlineLevel="1"/>
    <row r="239" outlineLevel="1" ht="17.45" customHeight="1"/>
    <row r="240" outlineLevel="1" ht="16.5" customHeight="1"/>
    <row r="241" outlineLevel="1" ht="17.25" customHeight="1"/>
    <row r="242" outlineLevel="1"/>
    <row r="243" outlineLevel="1" ht="18.75" customHeight="1"/>
    <row r="244" outlineLevel="1"/>
    <row r="245" outlineLevel="1"/>
    <row r="246" outlineLevel="1">
      <c r="G246" s="32" t="inlineStr">
        <is>
          <t xml:space="preserve"> </t>
        </is>
      </c>
    </row>
    <row r="247" outlineLevel="1"/>
    <row r="248" outlineLevel="1" ht="16.5" customHeight="1"/>
    <row r="249" outlineLevel="1" ht="16.5" customHeight="1">
      <c r="G249" s="56" t="n"/>
      <c r="H249" s="55" t="n"/>
    </row>
    <row r="250" outlineLevel="1">
      <c r="G250" s="32" t="n"/>
    </row>
    <row r="251" outlineLevel="1"/>
    <row r="252" outlineLevel="1" ht="17.25" customHeight="1"/>
    <row r="255" ht="18.75" customHeight="1">
      <c r="J255" s="57">
        <f>1000000000*35</f>
        <v/>
      </c>
    </row>
    <row r="256" outlineLevel="1" ht="21.75" customHeight="1">
      <c r="J256" s="58">
        <f>J255*0.65</f>
        <v/>
      </c>
    </row>
    <row r="257" outlineLevel="1" ht="18.4" customHeight="1"/>
    <row r="258" outlineLevel="1" ht="31.5" customHeight="1"/>
    <row r="259" outlineLevel="1">
      <c r="G259" s="53" t="n"/>
    </row>
    <row r="260" outlineLevel="1">
      <c r="G260" s="53" t="n"/>
    </row>
    <row r="261" outlineLevel="1">
      <c r="G261" s="53" t="n"/>
    </row>
    <row r="262" outlineLevel="1" ht="21" customHeight="1">
      <c r="G262" s="59" t="n">
        <v>13200000</v>
      </c>
    </row>
    <row r="263" outlineLevel="1" ht="18" customHeight="1">
      <c r="G263" s="59">
        <f>G262/1.1</f>
        <v/>
      </c>
    </row>
    <row r="264" outlineLevel="1" ht="16.5" customHeight="1">
      <c r="G264" s="59">
        <f>G263*0.2</f>
        <v/>
      </c>
      <c r="H264" s="69" t="n"/>
      <c r="I264" s="69" t="n"/>
    </row>
    <row r="265" outlineLevel="1">
      <c r="G265" s="53" t="n"/>
      <c r="H265" s="42" t="n"/>
      <c r="I265" s="69" t="n"/>
    </row>
    <row r="266" outlineLevel="1" ht="19.5" customHeight="1">
      <c r="G266" s="60" t="n"/>
      <c r="H266" s="42" t="n"/>
    </row>
    <row r="267" outlineLevel="1" ht="33.75" customHeight="1">
      <c r="H267" s="61" t="n"/>
    </row>
    <row r="268" outlineLevel="1" ht="18.75" customFormat="1" customHeight="1" s="28">
      <c r="A268" s="25" t="n"/>
      <c r="G268" s="26" t="n"/>
      <c r="H268" s="40" t="n"/>
    </row>
    <row r="269" outlineLevel="1">
      <c r="H269" s="61" t="n"/>
    </row>
    <row r="270" outlineLevel="1" ht="18.75" customHeight="1">
      <c r="H270" s="28" t="n"/>
      <c r="I270" s="69" t="n"/>
    </row>
    <row r="271" outlineLevel="1" ht="18" customHeight="1">
      <c r="I271" s="69" t="n"/>
    </row>
    <row r="272" outlineLevel="1">
      <c r="I272" s="69" t="n"/>
    </row>
    <row r="273" outlineLevel="1">
      <c r="I273" s="69" t="n"/>
    </row>
    <row r="274" outlineLevel="1">
      <c r="I274" s="69" t="n"/>
    </row>
    <row r="275" outlineLevel="1" ht="16.5" customHeight="1">
      <c r="I275" s="62" t="n"/>
    </row>
    <row r="277" ht="15" customHeight="1"/>
    <row r="278" ht="17.25" customHeight="1"/>
    <row r="279" outlineLevel="1" ht="16.5" customHeight="1"/>
    <row r="280" outlineLevel="1" ht="18.75" customHeight="1"/>
    <row r="281" outlineLevel="1" ht="39" customHeight="1"/>
    <row r="282" outlineLevel="1"/>
    <row r="283" outlineLevel="1"/>
    <row r="284" outlineLevel="1"/>
    <row r="285" outlineLevel="1" ht="18.75" customHeight="1"/>
    <row r="286" outlineLevel="1" ht="16.5" customHeight="1"/>
    <row r="287" outlineLevel="1"/>
    <row r="288" outlineLevel="1" ht="17.25" customHeight="1"/>
    <row r="289" outlineLevel="1" ht="17.25" customHeight="1"/>
    <row r="290" outlineLevel="1" ht="30" customHeight="1"/>
    <row r="291" outlineLevel="1" ht="16.5" customHeight="1"/>
    <row r="292" outlineLevel="1"/>
    <row r="293" outlineLevel="1" ht="16.5" customHeight="1"/>
    <row r="294" outlineLevel="1"/>
    <row r="295" outlineLevel="1"/>
    <row r="296" outlineLevel="1"/>
    <row r="297" outlineLevel="1"/>
    <row r="298" outlineLevel="1" ht="16.5" customHeight="1"/>
    <row r="300" ht="15.75" customHeight="1">
      <c r="H300" s="60" t="n"/>
    </row>
    <row r="301" ht="20.25" customHeight="1">
      <c r="H301" s="60" t="n"/>
    </row>
    <row r="302" outlineLevel="1" ht="17.25" customHeight="1"/>
    <row r="303" outlineLevel="1" ht="16.5" customHeight="1"/>
    <row r="304" outlineLevel="1" ht="36" customFormat="1" customHeight="1" s="53">
      <c r="A304" s="55" t="n"/>
    </row>
    <row r="305" outlineLevel="1" ht="18.75" customHeight="1"/>
    <row r="306" outlineLevel="1"/>
    <row r="307" outlineLevel="1"/>
    <row r="308" outlineLevel="1" ht="16.5" customHeight="1"/>
    <row r="309" outlineLevel="1" ht="15.75" customHeight="1"/>
    <row r="310" outlineLevel="1" ht="19.5" customHeight="1">
      <c r="G310" s="26" t="n"/>
      <c r="H310" s="63" t="n"/>
    </row>
    <row r="311" outlineLevel="1">
      <c r="G311" s="26" t="n"/>
    </row>
    <row r="312" outlineLevel="1" ht="17.25" customHeight="1">
      <c r="G312" s="26" t="n"/>
      <c r="H312" s="65" t="n"/>
    </row>
    <row r="313" outlineLevel="1" ht="33" customHeight="1">
      <c r="G313" s="23" t="n"/>
    </row>
    <row r="314" outlineLevel="1" ht="16.5" customHeight="1">
      <c r="G314" s="69" t="n"/>
    </row>
    <row r="315" outlineLevel="1">
      <c r="H315" s="60" t="n"/>
      <c r="I315" s="69" t="n"/>
      <c r="J315" s="42" t="n"/>
    </row>
    <row r="316" outlineLevel="1">
      <c r="H316" s="60" t="n"/>
      <c r="I316" s="69" t="n"/>
      <c r="J316" s="42" t="n"/>
    </row>
    <row r="317" outlineLevel="1">
      <c r="H317" s="60" t="n"/>
      <c r="I317" s="69" t="n"/>
      <c r="J317" s="42" t="n"/>
    </row>
    <row r="318" outlineLevel="1">
      <c r="H318" s="60" t="n"/>
      <c r="J318" s="42" t="n"/>
    </row>
    <row r="319" outlineLevel="1"/>
    <row r="320" outlineLevel="1" ht="15" customHeight="1"/>
    <row r="321" outlineLevel="1" ht="17.45" customHeight="1"/>
    <row r="323" ht="19.5" customHeight="1"/>
    <row r="324" ht="18" customHeight="1">
      <c r="H324" s="60" t="n"/>
      <c r="I324" s="69" t="n"/>
      <c r="J324" s="54" t="n"/>
    </row>
    <row r="325" outlineLevel="1" ht="16.5" customHeight="1">
      <c r="H325" s="60" t="n"/>
      <c r="I325" s="69" t="n"/>
      <c r="J325" s="69" t="n"/>
    </row>
    <row r="326" outlineLevel="1" ht="20.25" customHeight="1">
      <c r="H326" s="61" t="n"/>
      <c r="J326" s="42" t="n"/>
    </row>
    <row r="327" outlineLevel="1">
      <c r="H327" s="61" t="n"/>
    </row>
    <row r="328" outlineLevel="1"/>
    <row r="329" outlineLevel="1"/>
    <row r="330" outlineLevel="1"/>
    <row r="331" outlineLevel="1"/>
    <row r="332" outlineLevel="1"/>
    <row r="333" outlineLevel="1" ht="18.75" customHeight="1"/>
    <row r="334" outlineLevel="1"/>
    <row r="335" outlineLevel="1"/>
    <row r="336" outlineLevel="1"/>
    <row r="337" outlineLevel="1"/>
    <row r="338" outlineLevel="1"/>
    <row r="339" outlineLevel="1">
      <c r="J339" s="51">
        <f>50000000+15000000</f>
        <v/>
      </c>
    </row>
    <row r="340" outlineLevel="1" ht="18" customHeight="1"/>
    <row r="341" outlineLevel="1" ht="18" customHeight="1"/>
    <row r="342" outlineLevel="1" ht="18" customHeight="1"/>
    <row r="343" outlineLevel="1"/>
    <row r="344" outlineLevel="1" ht="17.25" customHeight="1"/>
    <row r="346" ht="15" customHeight="1"/>
    <row r="347" ht="18.75" customHeight="1"/>
    <row r="348" outlineLevel="1" ht="17.45" customHeight="1"/>
    <row r="349" outlineLevel="1" ht="21" customHeight="1"/>
    <row r="350" outlineLevel="1"/>
    <row r="351" outlineLevel="1"/>
    <row r="352" outlineLevel="1"/>
    <row r="353" outlineLevel="1"/>
    <row r="354" outlineLevel="1"/>
    <row r="355" outlineLevel="1"/>
    <row r="356" outlineLevel="1">
      <c r="G356" s="66" t="n"/>
    </row>
    <row r="357" outlineLevel="1"/>
    <row r="358" outlineLevel="1" ht="17.25" customHeight="1"/>
    <row r="359" outlineLevel="1"/>
    <row r="360" outlineLevel="1" ht="17.25" customHeight="1"/>
    <row r="361" outlineLevel="1"/>
    <row r="362" outlineLevel="1"/>
    <row r="363" outlineLevel="1" ht="16.5" customHeight="1"/>
    <row r="364" outlineLevel="1"/>
    <row r="365" outlineLevel="1"/>
    <row r="366" outlineLevel="1"/>
    <row r="367" outlineLevel="1" ht="18.75" customFormat="1" customHeight="1" s="28">
      <c r="A367" s="25" t="n"/>
    </row>
    <row r="369" ht="15.75" customHeight="1"/>
    <row r="371" outlineLevel="1" ht="18" customFormat="1" customHeight="1" s="28">
      <c r="A371" s="25" t="n"/>
      <c r="G371" s="26">
        <f>#REF!*0.03%</f>
        <v/>
      </c>
    </row>
    <row r="372" outlineLevel="1">
      <c r="G372" s="32">
        <f>G371*0.3</f>
        <v/>
      </c>
    </row>
    <row r="373" outlineLevel="1"/>
    <row r="374" outlineLevel="1"/>
    <row r="375" outlineLevel="1"/>
    <row r="376" outlineLevel="1"/>
    <row r="377" outlineLevel="1">
      <c r="N377" s="51" t="n"/>
    </row>
    <row r="378" outlineLevel="1" ht="16.5" customHeight="1">
      <c r="N378" s="51">
        <f>4.5*20</f>
        <v/>
      </c>
    </row>
    <row r="379" outlineLevel="1">
      <c r="N379" s="51">
        <f>N378*2</f>
        <v/>
      </c>
    </row>
    <row r="380" outlineLevel="1">
      <c r="N380" s="51">
        <f>N379*5000000*0.6</f>
        <v/>
      </c>
    </row>
    <row r="381" outlineLevel="1" ht="17.25" customHeight="1">
      <c r="N381" s="51" t="n">
        <v>8400000000</v>
      </c>
    </row>
    <row r="382" outlineLevel="1" ht="64.5" customHeight="1">
      <c r="N382" s="51">
        <f>N381*0.9</f>
        <v/>
      </c>
    </row>
    <row r="383" outlineLevel="1">
      <c r="N383" s="51">
        <f>N382-N380</f>
        <v/>
      </c>
    </row>
    <row r="384" outlineLevel="1">
      <c r="N384" s="51">
        <f>N383/(4.5*28)</f>
        <v/>
      </c>
    </row>
    <row r="385" outlineLevel="1">
      <c r="G385" s="32" t="n">
        <v>2800000</v>
      </c>
      <c r="N385" s="51">
        <f>N384*(5.5*13.82)</f>
        <v/>
      </c>
    </row>
    <row r="386" outlineLevel="1" ht="18.75" customHeight="1">
      <c r="G386" s="32">
        <f>G385*1.1</f>
        <v/>
      </c>
      <c r="N386" s="51" t="n"/>
    </row>
    <row r="387" outlineLevel="1">
      <c r="J387" s="51" t="n">
        <v>1843000000</v>
      </c>
      <c r="N387" s="51" t="n"/>
    </row>
    <row r="388" outlineLevel="1">
      <c r="J388" s="51">
        <f>J387*0.6</f>
        <v/>
      </c>
      <c r="N388" s="51" t="n"/>
    </row>
    <row r="389" outlineLevel="1">
      <c r="N389" s="51" t="n"/>
    </row>
    <row r="390" outlineLevel="1">
      <c r="N390" s="51" t="n"/>
    </row>
    <row r="392" ht="18" customHeight="1"/>
    <row r="393" ht="17.45" customHeight="1"/>
    <row r="394" outlineLevel="1" ht="17.45" customHeight="1"/>
    <row r="395" outlineLevel="1"/>
    <row r="396" outlineLevel="1" ht="18.75" customHeight="1"/>
    <row r="397" outlineLevel="1"/>
    <row r="398" outlineLevel="1"/>
    <row r="399" outlineLevel="1"/>
    <row r="400" outlineLevel="1" ht="17.25" customHeight="1"/>
    <row r="401" outlineLevel="1" ht="18" customHeight="1"/>
    <row r="402" outlineLevel="1" ht="17.25" customHeight="1"/>
    <row r="403" outlineLevel="1"/>
    <row r="404" outlineLevel="1" ht="17.45" customHeight="1"/>
    <row r="405" outlineLevel="1"/>
    <row r="406" outlineLevel="1" ht="16.5" customHeight="1"/>
    <row r="407" outlineLevel="1" ht="18" customHeight="1"/>
    <row r="408" outlineLevel="1"/>
    <row r="409" outlineLevel="1"/>
    <row r="410" outlineLevel="1"/>
    <row r="411" outlineLevel="1"/>
    <row r="412" outlineLevel="1"/>
    <row r="413" outlineLevel="1" ht="18" customHeight="1"/>
    <row r="415" ht="15" customHeight="1"/>
    <row r="416" ht="18" customHeight="1"/>
    <row r="417" outlineLevel="1" ht="18.75" customHeight="1"/>
    <row r="418" outlineLevel="1"/>
    <row r="419" outlineLevel="1" ht="18.75" customHeight="1"/>
    <row r="420" outlineLevel="1"/>
    <row r="421" outlineLevel="1"/>
    <row r="422" outlineLevel="1"/>
    <row r="423" outlineLevel="1" ht="18.75" customHeight="1"/>
    <row r="424" outlineLevel="1" ht="18" customHeight="1"/>
    <row r="425" outlineLevel="1">
      <c r="O425" s="51" t="n">
        <v>24773705000</v>
      </c>
    </row>
    <row r="426" outlineLevel="1">
      <c r="O426" s="51" t="n">
        <v>17854690000</v>
      </c>
    </row>
    <row r="427" outlineLevel="1" ht="20.25" customHeight="1">
      <c r="O427" s="51" t="n">
        <v>9297964000</v>
      </c>
    </row>
    <row r="428" outlineLevel="1" ht="33.75" customHeight="1">
      <c r="O428" s="57" t="n">
        <v>5959270000</v>
      </c>
    </row>
    <row r="429" outlineLevel="1" ht="16.5" customHeight="1">
      <c r="O429" s="51" t="n">
        <v>4926166000</v>
      </c>
    </row>
    <row r="430" outlineLevel="1">
      <c r="O430" s="51">
        <f>SUM(O425:O429)</f>
        <v/>
      </c>
    </row>
    <row r="431" outlineLevel="1" ht="16.5" customHeight="1">
      <c r="O431" s="51" t="n"/>
    </row>
    <row r="432" outlineLevel="1" ht="18.75" customHeight="1"/>
    <row r="433" outlineLevel="1"/>
    <row r="434" outlineLevel="1"/>
    <row r="435" outlineLevel="1"/>
    <row r="436" outlineLevel="1" ht="18" customHeight="1"/>
    <row r="438" ht="19.5" customHeight="1"/>
    <row r="439" ht="18.75" customFormat="1" customHeight="1" s="28">
      <c r="A439" s="25" t="n"/>
    </row>
    <row r="440" outlineLevel="1" ht="18" customHeight="1"/>
    <row r="441" outlineLevel="1" ht="18.75" customHeight="1"/>
    <row r="442" outlineLevel="1"/>
    <row r="443" outlineLevel="1" ht="18.75" customHeight="1"/>
    <row r="444" outlineLevel="1" ht="18.75" customHeight="1"/>
    <row r="445" outlineLevel="1" ht="18.75" customHeight="1"/>
    <row r="446" outlineLevel="1" ht="19.5" customHeight="1"/>
    <row r="447" outlineLevel="1" ht="16.5" customHeight="1"/>
    <row r="448" outlineLevel="1"/>
    <row r="449" outlineLevel="1" ht="18.75" customHeight="1"/>
    <row r="450" outlineLevel="1" ht="19.5" customHeight="1"/>
    <row r="451" outlineLevel="1" ht="63" customHeight="1">
      <c r="I451" s="51" t="n"/>
    </row>
    <row r="452" outlineLevel="1" ht="18" customFormat="1" customHeight="1" s="28">
      <c r="A452" s="25" t="n"/>
      <c r="G452" s="26" t="n"/>
      <c r="I452" s="57" t="n"/>
    </row>
    <row r="453" outlineLevel="1">
      <c r="I453" s="51" t="n"/>
    </row>
    <row r="454" outlineLevel="1" ht="18.75" customHeight="1"/>
    <row r="455" outlineLevel="1" ht="18.75" customHeight="1"/>
    <row r="456" outlineLevel="1" ht="18.75" customHeight="1"/>
    <row r="457" outlineLevel="1" ht="18.75" customHeight="1"/>
    <row r="458" outlineLevel="1" ht="18" customHeight="1"/>
    <row r="459" outlineLevel="1" ht="18" customHeight="1"/>
    <row r="461" ht="21" customHeight="1"/>
    <row r="462" ht="20.25" customHeight="1"/>
    <row r="463" outlineLevel="1" ht="16.5" customHeight="1"/>
    <row r="464" outlineLevel="1" ht="18" customHeight="1"/>
    <row r="465" outlineLevel="1" ht="18" customHeight="1"/>
    <row r="466" outlineLevel="1" ht="17.25" customHeight="1"/>
    <row r="467" outlineLevel="1"/>
    <row r="468" outlineLevel="1"/>
    <row r="469" outlineLevel="1" ht="17.45" customHeight="1"/>
    <row r="470" outlineLevel="1" ht="16.5" customHeight="1"/>
    <row r="471" outlineLevel="1" ht="16.5" customHeight="1"/>
    <row r="472" outlineLevel="1"/>
    <row r="473" outlineLevel="1" ht="19.5" customHeight="1"/>
    <row r="474" outlineLevel="1" ht="36.75" customHeight="1">
      <c r="H474" s="65" t="n"/>
    </row>
    <row r="475" outlineLevel="1" ht="15.75" customHeight="1">
      <c r="H475" s="65" t="n"/>
    </row>
    <row r="476" outlineLevel="1">
      <c r="H476" s="65" t="n"/>
    </row>
    <row r="477" outlineLevel="1" ht="16.5" customHeight="1">
      <c r="H477" s="59" t="n"/>
    </row>
    <row r="478" outlineLevel="1"/>
    <row r="479" outlineLevel="1"/>
    <row r="480" outlineLevel="1"/>
    <row r="481" outlineLevel="1"/>
    <row r="482" outlineLevel="1"/>
    <row r="484" ht="15" customHeight="1">
      <c r="G484" s="28" t="n"/>
    </row>
    <row r="485" ht="17.45" customFormat="1" customHeight="1" s="28">
      <c r="A485" s="25" t="n"/>
    </row>
    <row r="486" outlineLevel="1" ht="17.45" customHeight="1"/>
    <row r="487" outlineLevel="1"/>
    <row r="488" outlineLevel="1" ht="17.25" customHeight="1"/>
    <row r="489" outlineLevel="1"/>
    <row r="490" outlineLevel="1"/>
    <row r="491" outlineLevel="1"/>
    <row r="492" outlineLevel="1"/>
    <row r="493" outlineLevel="1"/>
    <row r="494" outlineLevel="1" ht="17.25" customHeight="1"/>
    <row r="495" outlineLevel="1"/>
    <row r="496" outlineLevel="1" ht="18.75" customHeight="1"/>
    <row r="497" outlineLevel="1"/>
    <row r="498" outlineLevel="1" ht="17.25" customHeight="1"/>
    <row r="499" outlineLevel="1" ht="15.75" customHeight="1"/>
    <row r="500" outlineLevel="1"/>
    <row r="501" outlineLevel="1" ht="18" customHeight="1"/>
    <row r="502" outlineLevel="1"/>
    <row r="503" outlineLevel="1"/>
    <row r="504" outlineLevel="1"/>
    <row r="505" outlineLevel="1"/>
    <row r="507" ht="15" customHeight="1"/>
    <row r="509" outlineLevel="1" ht="20.25" customHeight="1"/>
    <row r="510" outlineLevel="1"/>
    <row r="511" outlineLevel="1" ht="46.5" customHeight="1"/>
    <row r="512" outlineLevel="1"/>
    <row r="513" outlineLevel="1" ht="18" customHeight="1">
      <c r="G513" s="26" t="n"/>
    </row>
    <row r="514" outlineLevel="1"/>
    <row r="515" outlineLevel="1" ht="18" customHeight="1"/>
    <row r="516" outlineLevel="1" ht="16.5" customHeight="1"/>
    <row r="517" outlineLevel="1" ht="16.5" customHeight="1"/>
    <row r="518" outlineLevel="1"/>
    <row r="519" outlineLevel="1" ht="18" customHeight="1"/>
    <row r="520" outlineLevel="1" ht="48.75" customHeight="1"/>
    <row r="521" outlineLevel="1"/>
    <row r="522" outlineLevel="1"/>
    <row r="523" outlineLevel="1"/>
    <row r="524" outlineLevel="1" ht="17.25" customHeight="1"/>
    <row r="525" outlineLevel="1" ht="15.75" customHeight="1"/>
    <row r="526" outlineLevel="1"/>
    <row r="527" outlineLevel="1"/>
    <row r="528" outlineLevel="1" ht="18" customHeight="1"/>
    <row r="530" ht="15" customHeight="1"/>
    <row r="531" ht="18.75" customHeight="1"/>
    <row r="532" outlineLevel="1" ht="16.5" customHeight="1"/>
    <row r="533" outlineLevel="1"/>
    <row r="534" outlineLevel="1">
      <c r="H534" s="23" t="n"/>
      <c r="I534" s="23" t="n"/>
      <c r="J534" s="23" t="n"/>
    </row>
    <row r="535" outlineLevel="1">
      <c r="H535" s="23" t="n"/>
      <c r="I535" s="23" t="n"/>
      <c r="J535" s="23" t="n"/>
    </row>
    <row r="536" outlineLevel="1">
      <c r="H536" s="23" t="n"/>
      <c r="I536" s="23" t="n"/>
      <c r="J536" s="23" t="n"/>
    </row>
    <row r="537" outlineLevel="1"/>
    <row r="538" outlineLevel="1"/>
    <row r="539" outlineLevel="1" ht="15.75" customHeight="1"/>
    <row r="540" outlineLevel="1"/>
    <row r="541" outlineLevel="1"/>
    <row r="542" outlineLevel="1" ht="19.5" customHeight="1"/>
    <row r="543" outlineLevel="1" ht="37.5" customHeight="1"/>
    <row r="544" outlineLevel="1" ht="16.5" customHeight="1"/>
    <row r="545" outlineLevel="1"/>
    <row r="546" outlineLevel="1"/>
    <row r="547" outlineLevel="1"/>
    <row r="548" outlineLevel="1"/>
    <row r="549" outlineLevel="1"/>
    <row r="550" outlineLevel="1"/>
    <row r="551" outlineLevel="1" ht="15" customHeight="1"/>
    <row r="553" ht="15" customHeight="1"/>
    <row r="554" ht="20.25" customHeight="1"/>
    <row r="555" outlineLevel="1" ht="18.75" customHeight="1"/>
    <row r="556" outlineLevel="1"/>
    <row r="557" outlineLevel="1" customFormat="1" s="53">
      <c r="A557" s="55" t="n"/>
    </row>
    <row r="558" outlineLevel="1">
      <c r="I558" t="n">
        <v>4320</v>
      </c>
    </row>
    <row r="559" outlineLevel="1">
      <c r="I559" t="n">
        <v>3780</v>
      </c>
    </row>
    <row r="560" outlineLevel="1">
      <c r="I560" t="n">
        <v>540</v>
      </c>
    </row>
    <row r="561" outlineLevel="1" ht="18" customHeight="1">
      <c r="I561" t="n">
        <v>1500</v>
      </c>
    </row>
    <row r="562" outlineLevel="1"/>
    <row r="563" outlineLevel="1" ht="18.75" customHeight="1"/>
    <row r="564" outlineLevel="1"/>
    <row r="565" outlineLevel="1" ht="18" customHeight="1"/>
    <row r="566" outlineLevel="1" ht="36.75" customHeight="1"/>
    <row r="567" outlineLevel="1" ht="17.45" customHeight="1"/>
    <row r="568" outlineLevel="1"/>
    <row r="569" outlineLevel="1"/>
    <row r="570" outlineLevel="1" ht="17.25" customHeight="1"/>
    <row r="571" outlineLevel="1"/>
    <row r="572" outlineLevel="1"/>
    <row r="573" outlineLevel="1"/>
    <row r="574" outlineLevel="1" ht="15" customHeight="1"/>
    <row r="576" ht="15" customHeight="1"/>
    <row r="577" ht="21.75" customHeight="1"/>
    <row r="578" outlineLevel="1"/>
    <row r="579" outlineLevel="1" ht="18.75" customHeight="1"/>
    <row r="580" outlineLevel="1" ht="15.75" customHeight="1"/>
    <row r="581" outlineLevel="1"/>
    <row r="582" outlineLevel="1"/>
    <row r="583" outlineLevel="1"/>
    <row r="584" outlineLevel="1" ht="17.25" customHeight="1"/>
    <row r="585" outlineLevel="1" ht="15.75" customHeight="1"/>
    <row r="586" outlineLevel="1" ht="17.25" customHeight="1"/>
    <row r="587" outlineLevel="1"/>
    <row r="588" outlineLevel="1" ht="18" customHeight="1"/>
    <row r="589" outlineLevel="1" ht="32.25" customHeight="1"/>
    <row r="590" outlineLevel="1" ht="16.5" customHeight="1">
      <c r="H590" s="59" t="n"/>
    </row>
    <row r="591" outlineLevel="1">
      <c r="H591" s="59" t="n"/>
    </row>
    <row r="592" outlineLevel="1">
      <c r="H592" s="59" t="n"/>
    </row>
    <row r="593" outlineLevel="1" ht="17.25" customHeight="1">
      <c r="H593" s="59" t="n"/>
    </row>
    <row r="594" outlineLevel="1" ht="17.25" customHeight="1"/>
    <row r="595" outlineLevel="1"/>
    <row r="596" outlineLevel="1"/>
    <row r="597" outlineLevel="1" ht="17.45" customHeight="1"/>
    <row r="599" ht="15" customHeight="1"/>
    <row r="600" ht="18" customHeight="1"/>
    <row r="601" outlineLevel="1" ht="18.75" customHeight="1"/>
    <row r="602" outlineLevel="1" ht="18.75" customHeight="1"/>
    <row r="603" outlineLevel="1"/>
    <row r="604" outlineLevel="1"/>
    <row r="605" outlineLevel="1"/>
    <row r="606" outlineLevel="1"/>
    <row r="607" outlineLevel="1" ht="18" customHeight="1"/>
    <row r="608" outlineLevel="1" ht="17.25" customHeight="1">
      <c r="G608" s="66" t="n"/>
      <c r="H608" s="25" t="n"/>
    </row>
    <row r="609" outlineLevel="1"/>
    <row r="610" outlineLevel="1"/>
    <row r="611" outlineLevel="1" ht="17.45" customHeight="1"/>
    <row r="612" outlineLevel="1"/>
    <row r="613" outlineLevel="1"/>
    <row r="614" outlineLevel="1"/>
    <row r="615" outlineLevel="1"/>
    <row r="616" outlineLevel="1"/>
    <row r="617" outlineLevel="1"/>
    <row r="618" outlineLevel="1"/>
    <row r="619" outlineLevel="1"/>
    <row r="620" outlineLevel="1" ht="17.45" customHeight="1"/>
    <row r="622" ht="15" customHeight="1"/>
    <row r="623" ht="20.25" customHeight="1"/>
    <row r="624" outlineLevel="1" ht="18.75" customHeight="1"/>
    <row r="625" outlineLevel="1" ht="18.75" customHeight="1"/>
    <row r="626" outlineLevel="1"/>
    <row r="627" outlineLevel="1"/>
    <row r="628" outlineLevel="1" ht="18.75" customHeight="1"/>
    <row r="629" outlineLevel="1" ht="17.25" customHeight="1"/>
    <row r="630" outlineLevel="1" ht="17.25" customHeight="1"/>
    <row r="631" outlineLevel="1"/>
    <row r="632" outlineLevel="1"/>
    <row r="633" outlineLevel="1"/>
    <row r="634" outlineLevel="1" ht="21" customHeight="1"/>
    <row r="635" outlineLevel="1" ht="36.75" customHeight="1"/>
    <row r="636" outlineLevel="1"/>
    <row r="637" outlineLevel="1"/>
    <row r="638" outlineLevel="1"/>
    <row r="639" outlineLevel="1"/>
    <row r="640" outlineLevel="1"/>
    <row r="641" outlineLevel="1"/>
    <row r="642" outlineLevel="1"/>
    <row r="643" outlineLevel="1"/>
    <row r="645" ht="15" customHeight="1"/>
    <row r="646" ht="17.45" customHeight="1"/>
    <row r="647" outlineLevel="1"/>
    <row r="648" outlineLevel="1"/>
    <row r="649" outlineLevel="1" ht="19.5" customHeight="1"/>
    <row r="650" outlineLevel="1"/>
    <row r="651" outlineLevel="1"/>
    <row r="652" outlineLevel="1"/>
    <row r="653" outlineLevel="1" ht="20.25" customHeight="1"/>
    <row r="654" outlineLevel="1"/>
    <row r="655" outlineLevel="1"/>
    <row r="656" outlineLevel="1"/>
    <row r="657" outlineLevel="1" ht="19.5" customHeight="1"/>
    <row r="658" outlineLevel="1"/>
    <row r="659" outlineLevel="1" ht="18.75" customHeight="1"/>
    <row r="660" outlineLevel="1"/>
    <row r="661" outlineLevel="1"/>
    <row r="662" outlineLevel="1"/>
    <row r="663" outlineLevel="1"/>
    <row r="664" outlineLevel="1"/>
    <row r="665" outlineLevel="1"/>
    <row r="666" outlineLevel="1" ht="15" customHeight="1"/>
    <row r="668" ht="15" customHeight="1"/>
    <row r="670" outlineLevel="1" ht="15.75" customHeight="1"/>
    <row r="671" outlineLevel="1"/>
    <row r="672" outlineLevel="1"/>
    <row r="673" outlineLevel="1"/>
    <row r="674" outlineLevel="1"/>
    <row r="675" outlineLevel="1"/>
    <row r="676" outlineLevel="1" ht="16.5" customHeight="1"/>
    <row r="677" outlineLevel="1" ht="16.5" customHeight="1"/>
    <row r="678" outlineLevel="1"/>
    <row r="679" outlineLevel="1" ht="16.5" customHeight="1"/>
    <row r="680" outlineLevel="1" ht="18" customHeight="1"/>
    <row r="681" outlineLevel="1" ht="32.25" customHeight="1"/>
    <row r="682" outlineLevel="1"/>
    <row r="683" outlineLevel="1"/>
    <row r="684" outlineLevel="1"/>
    <row r="685" outlineLevel="1"/>
    <row r="686" outlineLevel="1"/>
    <row r="687" outlineLevel="1"/>
    <row r="688" outlineLevel="1"/>
    <row r="689" outlineLevel="1"/>
    <row r="692" ht="19.5" customHeight="1"/>
    <row r="693" outlineLevel="1" ht="18" customFormat="1" customHeight="1" s="28">
      <c r="A693" s="25" t="n"/>
      <c r="G693" s="26" t="n"/>
    </row>
    <row r="694" outlineLevel="1" ht="18.75" customHeight="1">
      <c r="G694" s="32" t="n">
        <v>3500000</v>
      </c>
      <c r="H694" s="65">
        <f>G694*0.85</f>
        <v/>
      </c>
    </row>
    <row r="695" outlineLevel="1">
      <c r="G695" s="32">
        <f>G694*1.1</f>
        <v/>
      </c>
      <c r="H695" s="65">
        <f>H694*1.1</f>
        <v/>
      </c>
    </row>
    <row r="696" outlineLevel="1"/>
    <row r="697" outlineLevel="1"/>
    <row r="698" outlineLevel="1"/>
    <row r="699" outlineLevel="1" ht="16.5" customHeight="1"/>
    <row r="700" outlineLevel="1"/>
    <row r="701" outlineLevel="1" ht="33" customHeight="1"/>
    <row r="702" outlineLevel="1"/>
    <row r="703" outlineLevel="1" ht="17.25" customHeight="1"/>
    <row r="704" outlineLevel="1" ht="17.25" customHeight="1"/>
    <row r="705" outlineLevel="1"/>
    <row r="706" outlineLevel="1"/>
    <row r="707" outlineLevel="1"/>
    <row r="708" outlineLevel="1"/>
    <row r="709" outlineLevel="1"/>
    <row r="710" outlineLevel="1"/>
    <row r="711" outlineLevel="1"/>
    <row r="712" outlineLevel="1" ht="15" customHeight="1"/>
    <row r="716" outlineLevel="1"/>
    <row r="717" outlineLevel="1"/>
    <row r="718" outlineLevel="1"/>
    <row r="719" outlineLevel="1"/>
    <row r="720" outlineLevel="1"/>
    <row r="721" outlineLevel="1"/>
    <row r="722" outlineLevel="1" ht="19.5" customHeight="1"/>
    <row r="723" outlineLevel="1" ht="18" customHeight="1"/>
    <row r="724" outlineLevel="1" ht="20.25" customHeight="1"/>
    <row r="725" outlineLevel="1"/>
    <row r="726" outlineLevel="1" ht="18.75" customHeight="1"/>
    <row r="727" outlineLevel="1" ht="20.25" customHeight="1"/>
    <row r="728" outlineLevel="1"/>
    <row r="729" outlineLevel="1"/>
    <row r="730" outlineLevel="1" ht="17.25" customHeight="1"/>
    <row r="731" outlineLevel="1" ht="18" customHeight="1"/>
    <row r="732" outlineLevel="1" ht="18" customHeight="1"/>
    <row r="733" outlineLevel="1"/>
    <row r="734" outlineLevel="1"/>
    <row r="735" outlineLevel="1" ht="18" customHeight="1"/>
    <row r="738" ht="18.75" customHeight="1"/>
    <row r="739" outlineLevel="1" ht="18" customHeight="1"/>
    <row r="740" outlineLevel="1" ht="16.5" customHeight="1"/>
    <row r="741" outlineLevel="1" ht="37.5" customHeight="1"/>
    <row r="742" outlineLevel="1"/>
    <row r="743" outlineLevel="1"/>
    <row r="744" outlineLevel="1"/>
    <row r="745" outlineLevel="1" ht="17.25" customHeight="1"/>
    <row r="746" outlineLevel="1" ht="19.5" customHeight="1"/>
    <row r="747" outlineLevel="1" ht="19.5" customHeight="1"/>
    <row r="748" outlineLevel="1"/>
    <row r="749" outlineLevel="1" ht="22.5" customHeight="1"/>
    <row r="750" outlineLevel="1" ht="35.25" customHeight="1"/>
    <row r="751" outlineLevel="1"/>
    <row r="752" outlineLevel="1"/>
    <row r="753" outlineLevel="1" ht="19.5" customHeight="1"/>
    <row r="754" outlineLevel="1" ht="18" customHeight="1"/>
    <row r="755" outlineLevel="1" ht="18" customHeight="1"/>
    <row r="756" outlineLevel="1"/>
    <row r="757" outlineLevel="1"/>
    <row r="758" outlineLevel="1" ht="16.5" customHeight="1"/>
    <row r="760" ht="15" customHeight="1"/>
    <row r="761" ht="18.75" customHeight="1"/>
    <row r="762" outlineLevel="1" ht="16.5" customHeight="1"/>
    <row r="763" outlineLevel="1"/>
    <row r="764" outlineLevel="1"/>
    <row r="765" outlineLevel="1"/>
    <row r="766" outlineLevel="1"/>
    <row r="767" outlineLevel="1"/>
    <row r="768" outlineLevel="1"/>
    <row r="769" outlineLevel="1"/>
    <row r="770" outlineLevel="1" ht="18" customHeight="1"/>
    <row r="771" outlineLevel="1"/>
    <row r="772" outlineLevel="1" ht="19.5" customHeight="1"/>
    <row r="773" outlineLevel="1"/>
    <row r="774" outlineLevel="1"/>
    <row r="775" outlineLevel="1"/>
    <row r="776" outlineLevel="1"/>
    <row r="777" outlineLevel="1"/>
    <row r="778" outlineLevel="1"/>
    <row r="779" outlineLevel="1"/>
    <row r="780" outlineLevel="1"/>
    <row r="781" outlineLevel="1"/>
    <row r="783">
      <c r="H783" s="65" t="n"/>
    </row>
    <row r="784" ht="19.5" customFormat="1" customHeight="1" s="28">
      <c r="A784" s="25" t="n"/>
    </row>
    <row r="785" outlineLevel="1" ht="18" customFormat="1" customHeight="1" s="28">
      <c r="A785" s="25" t="n"/>
      <c r="H785" s="30" t="n"/>
    </row>
    <row r="786" outlineLevel="1"/>
    <row r="787" outlineLevel="1"/>
    <row r="788" outlineLevel="1"/>
    <row r="789" outlineLevel="1">
      <c r="I789" t="n">
        <v>31000</v>
      </c>
    </row>
    <row r="790" outlineLevel="1">
      <c r="I790">
        <f>23000</f>
        <v/>
      </c>
      <c r="J790" s="69" t="n"/>
    </row>
    <row r="791" outlineLevel="1">
      <c r="I791">
        <f>I789*I790</f>
        <v/>
      </c>
      <c r="J791" s="42" t="n"/>
    </row>
    <row r="792" outlineLevel="1"/>
    <row r="793" outlineLevel="1"/>
    <row r="794" outlineLevel="1"/>
    <row r="795" outlineLevel="1"/>
    <row r="796" outlineLevel="1"/>
    <row r="797" outlineLevel="1"/>
    <row r="798" outlineLevel="1"/>
    <row r="799" outlineLevel="1"/>
    <row r="800" outlineLevel="1"/>
    <row r="801" outlineLevel="1"/>
    <row r="802" outlineLevel="1"/>
    <row r="803" outlineLevel="1"/>
    <row r="804" outlineLevel="1" ht="17.25" customHeight="1"/>
    <row r="806" ht="15" customHeight="1"/>
    <row r="807" ht="18" customHeight="1"/>
    <row r="808" hidden="1" outlineLevel="1"/>
    <row r="809" hidden="1" outlineLevel="1"/>
    <row r="810" hidden="1" outlineLevel="1" ht="17.25" customHeight="1"/>
    <row r="811" hidden="1" outlineLevel="1"/>
    <row r="812" hidden="1" outlineLevel="1"/>
    <row r="813" hidden="1" outlineLevel="1"/>
    <row r="814" hidden="1" outlineLevel="1"/>
    <row r="815" hidden="1" outlineLevel="1"/>
    <row r="816" hidden="1" outlineLevel="1" ht="17.25" customHeight="1"/>
    <row r="817" hidden="1" outlineLevel="1" ht="16.5" customHeight="1"/>
    <row r="818" hidden="1" outlineLevel="1" ht="19.5" customHeight="1"/>
    <row r="819" hidden="1" outlineLevel="1"/>
    <row r="820" hidden="1" outlineLevel="1"/>
    <row r="821" hidden="1" outlineLevel="1"/>
    <row r="822" hidden="1" outlineLevel="1"/>
    <row r="823" hidden="1" outlineLevel="1"/>
    <row r="824" hidden="1" outlineLevel="1" ht="18" customHeight="1"/>
    <row r="825" hidden="1" outlineLevel="1"/>
    <row r="826" hidden="1" outlineLevel="1"/>
    <row r="827" hidden="1" outlineLevel="1" ht="16.5" customHeight="1"/>
    <row r="828" collapsed="1"/>
    <row r="830" ht="19.5" customHeight="1"/>
    <row r="831" hidden="1" outlineLevel="1" ht="20.25" customHeight="1" thickTop="1">
      <c r="J831" s="69" t="n">
        <v>7200000000</v>
      </c>
    </row>
    <row r="832" hidden="1" outlineLevel="1" ht="15.75" customHeight="1">
      <c r="I832">
        <f>3.6*11</f>
        <v/>
      </c>
      <c r="J832" s="42">
        <f>J831*0.9</f>
        <v/>
      </c>
    </row>
    <row r="833" hidden="1" outlineLevel="1" ht="62.25" customHeight="1">
      <c r="G833" s="68" t="n"/>
      <c r="I833" s="23">
        <f>I832*3*5000000*0.7</f>
        <v/>
      </c>
    </row>
    <row r="834" hidden="1" outlineLevel="1" ht="15.75" customHeight="1">
      <c r="G834" s="68" t="n"/>
      <c r="I834" s="69">
        <f>4600000000*0.9</f>
        <v/>
      </c>
    </row>
    <row r="835" hidden="1" outlineLevel="1" ht="15.75" customHeight="1">
      <c r="G835" s="68" t="n"/>
      <c r="I835" s="42">
        <f>I834-I833</f>
        <v/>
      </c>
    </row>
    <row r="836" hidden="1" outlineLevel="1" ht="15.75" customHeight="1">
      <c r="G836" s="68" t="n"/>
      <c r="I836" s="42">
        <f>I835/3.6</f>
        <v/>
      </c>
    </row>
    <row r="837" hidden="1" outlineLevel="1" ht="17.25" customHeight="1">
      <c r="G837" s="68" t="n"/>
      <c r="I837" s="42">
        <f>I835/39.6</f>
        <v/>
      </c>
    </row>
    <row r="838" hidden="1" outlineLevel="1" ht="16.5" customHeight="1">
      <c r="G838" s="68" t="n"/>
    </row>
    <row r="839" hidden="1" outlineLevel="1">
      <c r="G839" s="68" t="n"/>
    </row>
    <row r="840" hidden="1" outlineLevel="1">
      <c r="G840" s="68" t="n"/>
    </row>
    <row r="841" hidden="1" outlineLevel="1" ht="18.75" customHeight="1">
      <c r="G841" s="68" t="n"/>
    </row>
    <row r="842" hidden="1" outlineLevel="1">
      <c r="G842" s="68" t="n"/>
    </row>
    <row r="843" hidden="1" outlineLevel="1">
      <c r="G843" s="68" t="n"/>
    </row>
    <row r="844" hidden="1" outlineLevel="1">
      <c r="G844" s="68" t="n"/>
    </row>
    <row r="845" hidden="1" outlineLevel="1">
      <c r="G845" s="68" t="n"/>
    </row>
    <row r="846" hidden="1" outlineLevel="1">
      <c r="G846" s="68" t="n"/>
    </row>
    <row r="847" hidden="1" outlineLevel="1">
      <c r="G847" s="68" t="n"/>
    </row>
    <row r="848" hidden="1" outlineLevel="1">
      <c r="G848" s="68" t="n"/>
    </row>
    <row r="849" hidden="1" outlineLevel="1">
      <c r="G849" s="68" t="n"/>
    </row>
    <row r="850" hidden="1" outlineLevel="1" ht="18.75" customHeight="1">
      <c r="G850" s="68" t="n"/>
    </row>
    <row r="851" collapsed="1">
      <c r="G851" s="68" t="n"/>
    </row>
    <row r="852" ht="18" customHeight="1">
      <c r="G852" s="68" t="n"/>
    </row>
    <row r="853" ht="20.25" customHeight="1">
      <c r="G853" s="68" t="n"/>
    </row>
    <row r="854" hidden="1" outlineLevel="1" ht="18.75" customFormat="1" customHeight="1" s="28" thickTop="1">
      <c r="A854" s="25" t="n"/>
      <c r="G854" s="70" t="n"/>
    </row>
    <row r="855" hidden="1" outlineLevel="1">
      <c r="G855" s="68" t="n"/>
    </row>
    <row r="856" hidden="1" outlineLevel="1" ht="19.5" customHeight="1">
      <c r="G856" s="68" t="n"/>
    </row>
    <row r="857" hidden="1" outlineLevel="1" ht="17.25" customHeight="1">
      <c r="G857" s="68" t="n"/>
    </row>
    <row r="858" hidden="1" outlineLevel="1" ht="18" customHeight="1">
      <c r="G858" s="68" t="n"/>
    </row>
    <row r="859" hidden="1" outlineLevel="1" ht="18.75" customHeight="1"/>
    <row r="860" hidden="1" outlineLevel="1" ht="18" customHeight="1"/>
    <row r="861" hidden="1" outlineLevel="1" ht="16.5" customHeight="1">
      <c r="G861" s="68" t="n"/>
    </row>
    <row r="862" hidden="1" outlineLevel="1">
      <c r="G862" s="68" t="n"/>
    </row>
    <row r="863" hidden="1" outlineLevel="1" ht="17.25" customHeight="1">
      <c r="G863" s="68" t="n"/>
    </row>
    <row r="864" hidden="1" outlineLevel="1" ht="18.75" customHeight="1">
      <c r="G864" s="68" t="n"/>
    </row>
    <row r="865" hidden="1" outlineLevel="1" ht="32.25" customHeight="1">
      <c r="G865" s="68" t="n"/>
    </row>
    <row r="866" hidden="1" outlineLevel="1" ht="18" customHeight="1">
      <c r="G866" s="68" t="n"/>
    </row>
    <row r="867" hidden="1" outlineLevel="1" ht="18" customHeight="1">
      <c r="G867" s="68" t="n"/>
    </row>
    <row r="868" hidden="1" outlineLevel="1" ht="17.25" customHeight="1">
      <c r="G868" s="68" t="n"/>
    </row>
    <row r="869" hidden="1" outlineLevel="1">
      <c r="G869" s="68" t="n"/>
    </row>
    <row r="870" hidden="1" outlineLevel="1">
      <c r="G870" s="68" t="n"/>
    </row>
    <row r="871" hidden="1" outlineLevel="1">
      <c r="G871" s="68" t="n"/>
    </row>
    <row r="872" hidden="1" outlineLevel="1" ht="17.25" customHeight="1"/>
    <row r="873" hidden="1" outlineLevel="1" ht="20.25" customHeight="1"/>
    <row r="874" collapsed="1"/>
    <row r="876" ht="19.5" customHeight="1"/>
    <row r="877" hidden="1" outlineLevel="1" ht="16.5" customHeight="1" thickTop="1"/>
    <row r="878" hidden="1" outlineLevel="1"/>
    <row r="879" hidden="1" outlineLevel="1"/>
    <row r="880" hidden="1" outlineLevel="1"/>
    <row r="881" hidden="1" outlineLevel="1"/>
    <row r="882" hidden="1" outlineLevel="1">
      <c r="K882" s="69" t="n"/>
    </row>
    <row r="883" hidden="1" outlineLevel="1" ht="21" customHeight="1">
      <c r="K883" s="69" t="n"/>
    </row>
    <row r="884" hidden="1" outlineLevel="1" ht="18.75" customHeight="1">
      <c r="K884" s="69" t="n"/>
    </row>
    <row r="885" hidden="1" outlineLevel="1">
      <c r="K885" s="69" t="n"/>
    </row>
    <row r="886" hidden="1" outlineLevel="1">
      <c r="K886" s="69" t="n"/>
    </row>
    <row r="887" hidden="1" outlineLevel="1" ht="18" customHeight="1"/>
    <row r="888" hidden="1" outlineLevel="1"/>
    <row r="889" hidden="1" outlineLevel="1"/>
    <row r="890" hidden="1" outlineLevel="1"/>
    <row r="891" hidden="1" outlineLevel="1"/>
    <row r="892" hidden="1" outlineLevel="1"/>
    <row r="893" hidden="1" outlineLevel="1"/>
    <row r="894" hidden="1" outlineLevel="1"/>
    <row r="895" hidden="1" outlineLevel="1"/>
    <row r="896" hidden="1" outlineLevel="1" ht="18.75" customHeight="1"/>
    <row r="897" collapsed="1"/>
    <row r="899" ht="16.5" customHeight="1"/>
    <row r="900" hidden="1" outlineLevel="1"/>
    <row r="901" hidden="1" outlineLevel="1"/>
    <row r="902" hidden="1" outlineLevel="1" ht="21.75" customHeight="1"/>
    <row r="903" hidden="1" outlineLevel="1"/>
    <row r="904" hidden="1" outlineLevel="1"/>
    <row r="905" hidden="1" outlineLevel="1"/>
    <row r="906" hidden="1" outlineLevel="1" ht="18.75" customHeight="1"/>
    <row r="907" hidden="1" outlineLevel="1" ht="18" customHeight="1"/>
    <row r="908" hidden="1" outlineLevel="1" ht="19.5" customHeight="1"/>
    <row r="909" hidden="1" outlineLevel="1"/>
    <row r="910" hidden="1" outlineLevel="1" ht="19.5" customHeight="1"/>
    <row r="911" hidden="1" outlineLevel="1" ht="32.25" customHeight="1"/>
    <row r="912" hidden="1" outlineLevel="1"/>
    <row r="913" hidden="1" outlineLevel="1"/>
    <row r="914" hidden="1" outlineLevel="1"/>
    <row r="915" hidden="1" outlineLevel="1"/>
    <row r="916" hidden="1" outlineLevel="1"/>
    <row r="917" hidden="1" outlineLevel="1"/>
    <row r="918" hidden="1" outlineLevel="1"/>
    <row r="919" hidden="1" outlineLevel="1" ht="16.5" customHeight="1"/>
    <row r="920" collapsed="1"/>
    <row r="921" ht="15" customHeight="1"/>
    <row r="923" hidden="1" outlineLevel="1"/>
    <row r="924" hidden="1" outlineLevel="1"/>
    <row r="925" hidden="1" outlineLevel="1" ht="18" customHeight="1"/>
    <row r="926" hidden="1" outlineLevel="1"/>
    <row r="927" hidden="1" outlineLevel="1"/>
    <row r="928" hidden="1" outlineLevel="1"/>
    <row r="929" hidden="1" outlineLevel="1"/>
    <row r="930" hidden="1" outlineLevel="1" ht="15.75" customHeight="1"/>
    <row r="931" hidden="1" outlineLevel="1"/>
    <row r="932" hidden="1" outlineLevel="1"/>
    <row r="933" hidden="1" outlineLevel="1" ht="18" customHeight="1"/>
    <row r="934" hidden="1" outlineLevel="1"/>
    <row r="935" hidden="1" outlineLevel="1"/>
    <row r="936" hidden="1" outlineLevel="1"/>
    <row r="937" hidden="1" outlineLevel="1"/>
    <row r="938" hidden="1" outlineLevel="1"/>
    <row r="939" hidden="1" outlineLevel="1"/>
    <row r="940" hidden="1" outlineLevel="1"/>
    <row r="941" hidden="1" outlineLevel="1"/>
    <row r="942" hidden="1" outlineLevel="1" ht="18.75" customHeight="1"/>
    <row r="943" collapsed="1"/>
    <row r="946" hidden="1" outlineLevel="1"/>
    <row r="947" hidden="1" outlineLevel="1"/>
    <row r="948" hidden="1" outlineLevel="1"/>
    <row r="949" hidden="1" outlineLevel="1"/>
    <row r="950" hidden="1" outlineLevel="1"/>
    <row r="951" hidden="1" outlineLevel="1"/>
    <row r="952" hidden="1" outlineLevel="1" ht="16.5" customHeight="1"/>
    <row r="953" hidden="1" outlineLevel="1" ht="18" customHeight="1"/>
    <row r="954" hidden="1" outlineLevel="1" ht="18" customHeight="1"/>
    <row r="955" hidden="1" outlineLevel="1"/>
    <row r="956" hidden="1" outlineLevel="1" ht="18.75" customHeight="1"/>
    <row r="957" hidden="1" outlineLevel="1"/>
    <row r="958" hidden="1" outlineLevel="1"/>
    <row r="959" hidden="1" outlineLevel="1"/>
    <row r="960" hidden="1" outlineLevel="1"/>
    <row r="961" hidden="1" outlineLevel="1"/>
    <row r="962" hidden="1" outlineLevel="1"/>
    <row r="963" hidden="1" outlineLevel="1"/>
    <row r="964" hidden="1" outlineLevel="1"/>
    <row r="965" hidden="1" outlineLevel="1" ht="18" customHeight="1"/>
    <row r="966" collapsed="1"/>
    <row r="967" ht="15" customHeight="1"/>
    <row r="969" hidden="1" outlineLevel="1"/>
    <row r="970" hidden="1" outlineLevel="1"/>
    <row r="971" hidden="1" outlineLevel="1"/>
    <row r="972" hidden="1" outlineLevel="1"/>
    <row r="973" hidden="1" outlineLevel="1"/>
    <row r="974" hidden="1" outlineLevel="1"/>
    <row r="975" hidden="1" outlineLevel="1" ht="16.5" customHeight="1"/>
    <row r="976" hidden="1" outlineLevel="1"/>
    <row r="977" hidden="1" outlineLevel="1"/>
    <row r="978" hidden="1" outlineLevel="1"/>
    <row r="979" hidden="1" outlineLevel="1" ht="21" customHeight="1"/>
    <row r="980" hidden="1" outlineLevel="1" ht="33" customHeight="1"/>
    <row r="981" hidden="1" outlineLevel="1"/>
    <row r="982" hidden="1" outlineLevel="1"/>
    <row r="983" hidden="1" outlineLevel="1"/>
    <row r="984" hidden="1" outlineLevel="1" ht="16.5" customHeight="1"/>
    <row r="985" hidden="1" outlineLevel="1"/>
    <row r="986" hidden="1" outlineLevel="1"/>
    <row r="987" hidden="1" outlineLevel="1"/>
    <row r="988" hidden="1" outlineLevel="1" ht="15" customFormat="1" customHeight="1" s="53">
      <c r="A988" s="55" t="n"/>
    </row>
    <row r="989" collapsed="1"/>
    <row r="990" ht="15" customHeight="1"/>
    <row r="992" hidden="1" outlineLevel="1" ht="15.75" customHeight="1" thickTop="1"/>
    <row r="993" hidden="1" outlineLevel="1"/>
    <row r="994" hidden="1" outlineLevel="1" ht="34.5" customHeight="1"/>
    <row r="995" hidden="1" outlineLevel="1"/>
    <row r="996" hidden="1" outlineLevel="1"/>
    <row r="997" hidden="1" outlineLevel="1"/>
    <row r="998" hidden="1" outlineLevel="1" ht="19.5" customHeight="1"/>
    <row r="999" hidden="1" outlineLevel="1" ht="21" customHeight="1"/>
    <row r="1000" hidden="1" outlineLevel="1" ht="19.5" customHeight="1"/>
    <row r="1001" hidden="1" outlineLevel="1"/>
    <row r="1002" hidden="1" outlineLevel="1"/>
    <row r="1003" hidden="1" outlineLevel="1" ht="38.25" customHeight="1"/>
    <row r="1004" hidden="1" outlineLevel="1"/>
    <row r="1005" hidden="1" outlineLevel="1"/>
    <row r="1006" hidden="1" outlineLevel="1"/>
    <row r="1007" hidden="1" outlineLevel="1"/>
    <row r="1008" hidden="1" outlineLevel="1"/>
    <row r="1009" hidden="1" outlineLevel="1"/>
    <row r="1010" hidden="1" outlineLevel="1"/>
    <row r="1011" hidden="1" outlineLevel="1" ht="15" customHeight="1"/>
    <row r="1012" collapsed="1"/>
    <row r="1013" ht="15" customHeight="1"/>
    <row r="1015" hidden="1" outlineLevel="1"/>
    <row r="1016" hidden="1" outlineLevel="1"/>
    <row r="1017" hidden="1" outlineLevel="1"/>
    <row r="1018" hidden="1" outlineLevel="1"/>
    <row r="1019" hidden="1" outlineLevel="1"/>
    <row r="1020" hidden="1" outlineLevel="1"/>
    <row r="1021" hidden="1" outlineLevel="1"/>
    <row r="1022" hidden="1" outlineLevel="1">
      <c r="H1022" s="72" t="n">
        <v>4000000</v>
      </c>
    </row>
    <row r="1023" hidden="1" outlineLevel="1">
      <c r="G1023" s="26" t="n"/>
      <c r="H1023" s="72">
        <f>H1022*36.55</f>
        <v/>
      </c>
    </row>
    <row r="1024" hidden="1" outlineLevel="1"/>
    <row r="1025" hidden="1" outlineLevel="1" ht="15.75" customHeight="1"/>
    <row r="1026" hidden="1" outlineLevel="1" ht="36.75" customHeight="1"/>
    <row r="1027" hidden="1" outlineLevel="1"/>
    <row r="1028" hidden="1" outlineLevel="1"/>
    <row r="1029" hidden="1" outlineLevel="1"/>
    <row r="1030" hidden="1" outlineLevel="1"/>
    <row r="1031" hidden="1" outlineLevel="1"/>
    <row r="1032" hidden="1" outlineLevel="1"/>
    <row r="1033" hidden="1" outlineLevel="1"/>
    <row r="1034" hidden="1" outlineLevel="1" ht="15" customHeight="1"/>
    <row r="1035" collapsed="1"/>
    <row r="1036" ht="15" customHeight="1"/>
    <row r="1037" ht="18.75" customHeight="1"/>
    <row r="1038" hidden="1" outlineLevel="1"/>
    <row r="1039" hidden="1" outlineLevel="1"/>
    <row r="1040" hidden="1" outlineLevel="1"/>
    <row r="1041" hidden="1" outlineLevel="1"/>
    <row r="1042" hidden="1" outlineLevel="1"/>
    <row r="1043" hidden="1" outlineLevel="1"/>
    <row r="1044" hidden="1" outlineLevel="1"/>
    <row r="1045" hidden="1" outlineLevel="1"/>
    <row r="1046" hidden="1" outlineLevel="1" ht="18.75" customHeight="1"/>
    <row r="1047" hidden="1" outlineLevel="1"/>
    <row r="1048" hidden="1" outlineLevel="1"/>
    <row r="1049" hidden="1" outlineLevel="1" ht="35.25" customHeight="1"/>
    <row r="1050" hidden="1" outlineLevel="1"/>
    <row r="1051" hidden="1" outlineLevel="1"/>
    <row r="1052" hidden="1" outlineLevel="1"/>
    <row r="1053" hidden="1" outlineLevel="1"/>
    <row r="1054" hidden="1" outlineLevel="1" ht="15" customHeight="1"/>
    <row r="1055" hidden="1" outlineLevel="1"/>
    <row r="1056" hidden="1" outlineLevel="1"/>
    <row r="1057" hidden="1" outlineLevel="1" ht="15" customHeight="1"/>
    <row r="1058" collapsed="1"/>
    <row r="1061" hidden="1" outlineLevel="1"/>
    <row r="1062" hidden="1" outlineLevel="1"/>
    <row r="1063" hidden="1" outlineLevel="1" ht="33.75" customHeight="1"/>
    <row r="1064" hidden="1" outlineLevel="1"/>
    <row r="1065" hidden="1" outlineLevel="1"/>
    <row r="1066" hidden="1" outlineLevel="1"/>
    <row r="1067" hidden="1" outlineLevel="1"/>
    <row r="1068" hidden="1" outlineLevel="1"/>
    <row r="1069" hidden="1" outlineLevel="1"/>
    <row r="1070" hidden="1" outlineLevel="1"/>
    <row r="1071" hidden="1" outlineLevel="1"/>
    <row r="1072" hidden="1" outlineLevel="1"/>
    <row r="1073" hidden="1" outlineLevel="1"/>
    <row r="1074" hidden="1" outlineLevel="1"/>
    <row r="1075" hidden="1" outlineLevel="1"/>
    <row r="1076" hidden="1" outlineLevel="1"/>
    <row r="1077" hidden="1" outlineLevel="1"/>
    <row r="1078" hidden="1" outlineLevel="1"/>
    <row r="1079" hidden="1" outlineLevel="1"/>
    <row r="1080" hidden="1" outlineLevel="1" ht="16.5" customHeight="1"/>
    <row r="1081" collapsed="1"/>
    <row r="1084" hidden="1" outlineLevel="1"/>
    <row r="1085" hidden="1" outlineLevel="1"/>
    <row r="1086" hidden="1" outlineLevel="1"/>
    <row r="1087" hidden="1" outlineLevel="1"/>
    <row r="1088" hidden="1" outlineLevel="1"/>
    <row r="1089" hidden="1" outlineLevel="1"/>
    <row r="1090" hidden="1" outlineLevel="1" ht="18" customHeight="1"/>
    <row r="1091" hidden="1" outlineLevel="1" ht="18.75" customHeight="1"/>
    <row r="1092" hidden="1" outlineLevel="1"/>
    <row r="1093" hidden="1" outlineLevel="1"/>
    <row r="1094" hidden="1" outlineLevel="1" ht="18.75" customHeight="1"/>
    <row r="1095" hidden="1" outlineLevel="1" ht="35.25" customHeight="1"/>
    <row r="1096" hidden="1" outlineLevel="1"/>
    <row r="1097" hidden="1" outlineLevel="1"/>
    <row r="1098" hidden="1" outlineLevel="1"/>
    <row r="1099" hidden="1" outlineLevel="1"/>
    <row r="1100" hidden="1" outlineLevel="1"/>
    <row r="1101" hidden="1" outlineLevel="1"/>
    <row r="1102" hidden="1" outlineLevel="1"/>
    <row r="1103" hidden="1" outlineLevel="1" ht="18" customHeight="1"/>
    <row r="1104" collapsed="1"/>
    <row r="1107" hidden="1" outlineLevel="1" ht="18" customHeight="1" thickTop="1"/>
    <row r="1108" hidden="1" outlineLevel="1"/>
    <row r="1109" hidden="1" outlineLevel="1" ht="15.75" customHeight="1"/>
    <row r="1110" hidden="1" outlineLevel="1"/>
    <row r="1111" hidden="1" outlineLevel="1"/>
    <row r="1112" hidden="1" outlineLevel="1"/>
    <row r="1113" hidden="1" outlineLevel="1" ht="17.25" customHeight="1"/>
    <row r="1114" hidden="1" outlineLevel="1" ht="16.5" customHeight="1"/>
    <row r="1115" hidden="1" outlineLevel="1" ht="16.5" customHeight="1"/>
    <row r="1116" hidden="1" outlineLevel="1"/>
    <row r="1117" hidden="1" outlineLevel="1" ht="17.25" customHeight="1"/>
    <row r="1118" hidden="1" outlineLevel="1" ht="36" customHeight="1"/>
    <row r="1119" hidden="1" outlineLevel="1"/>
    <row r="1120" hidden="1" outlineLevel="1"/>
    <row r="1121" hidden="1" outlineLevel="1"/>
    <row r="1122" hidden="1" outlineLevel="1"/>
    <row r="1123" hidden="1" outlineLevel="1"/>
    <row r="1124" hidden="1" outlineLevel="1"/>
    <row r="1125" hidden="1" outlineLevel="1">
      <c r="K1125" s="51" t="n">
        <v>12000000</v>
      </c>
    </row>
    <row r="1126" hidden="1" outlineLevel="1">
      <c r="K1126" s="67">
        <f>K1125/1.1</f>
        <v/>
      </c>
    </row>
    <row r="1127" collapsed="1"/>
    <row r="1130" hidden="1" outlineLevel="1"/>
    <row r="1131" hidden="1" outlineLevel="1"/>
    <row r="1132" hidden="1" outlineLevel="1"/>
    <row r="1133" hidden="1" outlineLevel="1">
      <c r="H1133" s="73" t="n"/>
    </row>
    <row r="1134" hidden="1" outlineLevel="1">
      <c r="H1134" s="60" t="n"/>
    </row>
    <row r="1135" hidden="1" outlineLevel="1">
      <c r="H1135" s="61" t="n"/>
    </row>
    <row r="1136" hidden="1" outlineLevel="1">
      <c r="H1136" s="61" t="n"/>
    </row>
    <row r="1137" hidden="1" outlineLevel="1">
      <c r="H1137" s="61" t="n"/>
    </row>
    <row r="1138" hidden="1" outlineLevel="1" ht="18" customHeight="1"/>
    <row r="1139" hidden="1" outlineLevel="1"/>
    <row r="1140" hidden="1" outlineLevel="1" ht="16.5" customHeight="1"/>
    <row r="1141" hidden="1" outlineLevel="1" ht="35.25" customHeight="1"/>
    <row r="1142" hidden="1" outlineLevel="1"/>
    <row r="1143" hidden="1" outlineLevel="1"/>
    <row r="1144" hidden="1" outlineLevel="1"/>
    <row r="1145" hidden="1" outlineLevel="1"/>
    <row r="1146" hidden="1" outlineLevel="1"/>
    <row r="1147" hidden="1" outlineLevel="1"/>
    <row r="1148" hidden="1" outlineLevel="1"/>
    <row r="1149" hidden="1" outlineLevel="1" ht="15" customHeight="1"/>
    <row r="1150" collapsed="1"/>
    <row r="1151" ht="15" customHeight="1"/>
    <row r="1152" ht="21" customHeight="1"/>
    <row r="1153" hidden="1" outlineLevel="1" ht="19.5" customHeight="1" thickTop="1"/>
    <row r="1154" hidden="1" outlineLevel="1"/>
    <row r="1155" hidden="1" outlineLevel="1"/>
    <row r="1156" hidden="1" outlineLevel="1"/>
    <row r="1157" hidden="1" outlineLevel="1"/>
    <row r="1158" hidden="1" outlineLevel="1"/>
    <row r="1159" hidden="1" outlineLevel="1" ht="18" customHeight="1"/>
    <row r="1160" hidden="1" outlineLevel="1"/>
    <row r="1161" hidden="1" outlineLevel="1" ht="16.5" customHeight="1"/>
    <row r="1162" hidden="1" outlineLevel="1"/>
    <row r="1163" hidden="1" outlineLevel="1" ht="21.75" customHeight="1"/>
    <row r="1164" hidden="1" outlineLevel="1" ht="37.5" customHeight="1"/>
    <row r="1165" hidden="1" outlineLevel="1"/>
    <row r="1166" hidden="1" outlineLevel="1"/>
    <row r="1167" hidden="1" outlineLevel="1"/>
    <row r="1168" hidden="1" outlineLevel="1"/>
    <row r="1169" hidden="1" outlineLevel="1"/>
    <row r="1170" hidden="1" outlineLevel="1"/>
    <row r="1171" hidden="1" outlineLevel="1"/>
    <row r="1172" hidden="1" outlineLevel="1" ht="15" customHeight="1"/>
    <row r="1173" collapsed="1"/>
    <row r="1174" ht="15" customHeight="1"/>
    <row r="1175" ht="20.25" customHeight="1"/>
    <row r="1176" hidden="1" outlineLevel="1" ht="17.25" customHeight="1" thickTop="1"/>
    <row r="1177" hidden="1" outlineLevel="1"/>
    <row r="1178" hidden="1" outlineLevel="1" ht="18.75" customHeight="1"/>
    <row r="1179" hidden="1" outlineLevel="1"/>
    <row r="1180" hidden="1" outlineLevel="1"/>
    <row r="1181" hidden="1" outlineLevel="1"/>
    <row r="1182" hidden="1" outlineLevel="1"/>
    <row r="1183" hidden="1" outlineLevel="1"/>
    <row r="1184" hidden="1" outlineLevel="1"/>
    <row r="1185" hidden="1" outlineLevel="1"/>
    <row r="1186" hidden="1" outlineLevel="1"/>
    <row r="1187" hidden="1" outlineLevel="1"/>
    <row r="1188" hidden="1" outlineLevel="1"/>
    <row r="1189" hidden="1" outlineLevel="1"/>
    <row r="1190" hidden="1" outlineLevel="1"/>
    <row r="1191" hidden="1" outlineLevel="1"/>
    <row r="1192" hidden="1" outlineLevel="1"/>
    <row r="1193" hidden="1" outlineLevel="1"/>
    <row r="1194" hidden="1" outlineLevel="1"/>
    <row r="1195" hidden="1" outlineLevel="1" ht="15" customHeight="1"/>
    <row r="1196" collapsed="1"/>
    <row r="1197" ht="15" customHeight="1"/>
    <row r="1199" hidden="1" outlineLevel="1"/>
    <row r="1200" hidden="1" outlineLevel="1"/>
    <row r="1201" hidden="1" outlineLevel="1"/>
    <row r="1202" hidden="1" outlineLevel="1"/>
    <row r="1203" hidden="1" outlineLevel="1"/>
    <row r="1204" hidden="1" outlineLevel="1"/>
    <row r="1205" hidden="1" outlineLevel="1" ht="18.75" customHeight="1"/>
    <row r="1206" hidden="1" outlineLevel="1"/>
    <row r="1207" hidden="1" outlineLevel="1" ht="19.5" customFormat="1" customHeight="1" s="28">
      <c r="A1207" s="25" t="n"/>
      <c r="G1207" s="26" t="n"/>
    </row>
    <row r="1208" hidden="1" outlineLevel="1"/>
    <row r="1209" hidden="1" outlineLevel="1" ht="19.5" customHeight="1"/>
    <row r="1210" hidden="1" outlineLevel="1"/>
    <row r="1211" hidden="1" outlineLevel="1"/>
    <row r="1212" hidden="1" outlineLevel="1"/>
    <row r="1213" hidden="1" outlineLevel="1"/>
    <row r="1214" hidden="1" outlineLevel="1"/>
    <row r="1215" hidden="1" outlineLevel="1"/>
    <row r="1216" hidden="1" outlineLevel="1"/>
    <row r="1217" hidden="1" outlineLevel="1"/>
    <row r="1218" hidden="1" outlineLevel="1" ht="15" customHeight="1"/>
    <row r="1219" collapsed="1"/>
    <row r="1220" ht="15" customHeight="1"/>
    <row r="1222" hidden="1" outlineLevel="1"/>
    <row r="1223" hidden="1" outlineLevel="1"/>
    <row r="1224" hidden="1" outlineLevel="1" ht="33" customHeight="1"/>
    <row r="1225" hidden="1" outlineLevel="1"/>
    <row r="1226" hidden="1" outlineLevel="1"/>
    <row r="1227" hidden="1" outlineLevel="1"/>
    <row r="1228" hidden="1" outlineLevel="1"/>
    <row r="1229" hidden="1" outlineLevel="1"/>
    <row r="1230" hidden="1" outlineLevel="1"/>
    <row r="1231" hidden="1" outlineLevel="1"/>
    <row r="1232" hidden="1" outlineLevel="1"/>
    <row r="1233" hidden="1" outlineLevel="1" ht="31.5" customHeight="1"/>
    <row r="1234" hidden="1" outlineLevel="1"/>
    <row r="1235" hidden="1" outlineLevel="1"/>
    <row r="1236" hidden="1" outlineLevel="1"/>
    <row r="1237" hidden="1" outlineLevel="1"/>
    <row r="1238" hidden="1" outlineLevel="1"/>
    <row r="1239" hidden="1" outlineLevel="1"/>
    <row r="1240" hidden="1" outlineLevel="1"/>
    <row r="1241" hidden="1" outlineLevel="1" ht="15" customHeight="1"/>
    <row r="1242" collapsed="1"/>
    <row r="1245" hidden="1" outlineLevel="1"/>
    <row r="1246" hidden="1" outlineLevel="1"/>
    <row r="1247" hidden="1" outlineLevel="1"/>
    <row r="1248" hidden="1" outlineLevel="1" ht="18" customHeight="1"/>
    <row r="1249" hidden="1" outlineLevel="1"/>
    <row r="1250" hidden="1" outlineLevel="1"/>
    <row r="1251" hidden="1" outlineLevel="1"/>
    <row r="1252" hidden="1" outlineLevel="1"/>
    <row r="1253" hidden="1" outlineLevel="1"/>
    <row r="1254" hidden="1" outlineLevel="1"/>
    <row r="1255" hidden="1" outlineLevel="1" ht="16.5" customHeight="1"/>
    <row r="1256" hidden="1" outlineLevel="1" ht="36.75" customHeight="1"/>
    <row r="1257" hidden="1" outlineLevel="1"/>
    <row r="1258" hidden="1" outlineLevel="1"/>
    <row r="1259" hidden="1" outlineLevel="1"/>
    <row r="1260" hidden="1" outlineLevel="1"/>
    <row r="1261" hidden="1" outlineLevel="1"/>
    <row r="1262" hidden="1" outlineLevel="1"/>
    <row r="1263" hidden="1" outlineLevel="1"/>
    <row r="1264" hidden="1" outlineLevel="1" ht="17.45" customHeight="1"/>
    <row r="1265" collapsed="1"/>
    <row r="1268" hidden="1" outlineLevel="1"/>
    <row r="1269" hidden="1" outlineLevel="1"/>
    <row r="1270" hidden="1" outlineLevel="1" customFormat="1" s="53">
      <c r="A1270" s="55" t="n"/>
    </row>
    <row r="1271" hidden="1" outlineLevel="1"/>
    <row r="1272" hidden="1" outlineLevel="1"/>
    <row r="1273" hidden="1" outlineLevel="1"/>
    <row r="1274" hidden="1" outlineLevel="1"/>
    <row r="1275" hidden="1" outlineLevel="1"/>
    <row r="1276" hidden="1" outlineLevel="1"/>
    <row r="1277" hidden="1" outlineLevel="1"/>
    <row r="1278" hidden="1" outlineLevel="1"/>
    <row r="1279" hidden="1" outlineLevel="1" ht="41.25" customHeight="1"/>
    <row r="1280" hidden="1" outlineLevel="1"/>
    <row r="1281" hidden="1" outlineLevel="1"/>
    <row r="1282" hidden="1" outlineLevel="1"/>
    <row r="1283" hidden="1" outlineLevel="1"/>
    <row r="1284" hidden="1" outlineLevel="1"/>
    <row r="1285" hidden="1" outlineLevel="1"/>
    <row r="1286" hidden="1" outlineLevel="1"/>
    <row r="1287" hidden="1" outlineLevel="1" ht="18.75" customHeight="1"/>
    <row r="1288" collapsed="1"/>
    <row r="1289" ht="15" customHeight="1"/>
    <row r="1291" hidden="1" outlineLevel="1"/>
    <row r="1292" hidden="1" outlineLevel="1"/>
    <row r="1293" hidden="1" outlineLevel="1"/>
    <row r="1294" hidden="1" outlineLevel="1"/>
    <row r="1295" hidden="1" outlineLevel="1"/>
    <row r="1296" hidden="1" outlineLevel="1"/>
    <row r="1297" hidden="1" outlineLevel="1"/>
    <row r="1298" hidden="1" outlineLevel="1"/>
    <row r="1299" hidden="1" outlineLevel="1"/>
    <row r="1300" hidden="1" outlineLevel="1"/>
    <row r="1301" hidden="1" outlineLevel="1"/>
    <row r="1302" hidden="1" outlineLevel="1"/>
    <row r="1303" hidden="1" outlineLevel="1"/>
    <row r="1304" hidden="1" outlineLevel="1"/>
    <row r="1305" hidden="1" outlineLevel="1"/>
    <row r="1306" hidden="1" outlineLevel="1"/>
    <row r="1307" hidden="1" outlineLevel="1"/>
    <row r="1308" hidden="1" outlineLevel="1"/>
    <row r="1309" hidden="1" outlineLevel="1"/>
    <row r="1310" hidden="1" outlineLevel="1" ht="17.45" customHeight="1"/>
    <row r="1311" collapsed="1"/>
    <row r="1312">
      <c r="J1312" s="51" t="n">
        <v>9150000</v>
      </c>
    </row>
    <row r="1313">
      <c r="J1313" s="67">
        <f>J1312-1200000</f>
        <v/>
      </c>
    </row>
    <row r="1314" hidden="1" outlineLevel="1"/>
    <row r="1315" hidden="1" outlineLevel="1"/>
    <row r="1316" hidden="1" outlineLevel="1" ht="20.25" customHeight="1"/>
    <row r="1317" hidden="1" outlineLevel="1"/>
    <row r="1318" hidden="1" outlineLevel="1"/>
    <row r="1319" hidden="1" outlineLevel="1"/>
    <row r="1320" hidden="1" outlineLevel="1"/>
    <row r="1321" hidden="1" outlineLevel="1"/>
    <row r="1322" hidden="1" outlineLevel="1" ht="18" customHeight="1"/>
    <row r="1323" hidden="1" outlineLevel="1"/>
    <row r="1324" hidden="1" outlineLevel="1"/>
    <row r="1325" hidden="1" outlineLevel="1" ht="33.75" customHeight="1"/>
    <row r="1326" hidden="1" outlineLevel="1"/>
    <row r="1327" hidden="1" outlineLevel="1"/>
    <row r="1328" hidden="1" outlineLevel="1"/>
    <row r="1329" hidden="1" outlineLevel="1"/>
    <row r="1330" hidden="1" outlineLevel="1"/>
    <row r="1331" hidden="1" outlineLevel="1"/>
    <row r="1332" hidden="1" outlineLevel="1"/>
    <row r="1333" hidden="1" outlineLevel="1" ht="19.5" customHeight="1"/>
    <row r="1334" collapsed="1">
      <c r="J1334" t="n">
        <v>185000000</v>
      </c>
    </row>
    <row r="1335">
      <c r="J1335">
        <f>J1334+8000000</f>
        <v/>
      </c>
    </row>
    <row r="1336">
      <c r="J1336">
        <f>J1335-15000000</f>
        <v/>
      </c>
    </row>
    <row r="1337" hidden="1" outlineLevel="1" ht="17.25" customHeight="1" thickTop="1"/>
    <row r="1338" hidden="1" outlineLevel="1"/>
    <row r="1339" hidden="1" outlineLevel="1"/>
    <row r="1340" hidden="1" outlineLevel="1"/>
    <row r="1341" hidden="1" outlineLevel="1"/>
    <row r="1342" hidden="1" outlineLevel="1"/>
    <row r="1343" hidden="1" outlineLevel="1"/>
    <row r="1344" hidden="1" outlineLevel="1"/>
    <row r="1345" hidden="1" outlineLevel="1"/>
    <row r="1346" hidden="1" outlineLevel="1"/>
    <row r="1347" hidden="1" outlineLevel="1"/>
    <row r="1348" hidden="1" outlineLevel="1" ht="50.25" customHeight="1"/>
    <row r="1349" hidden="1" outlineLevel="1"/>
    <row r="1350" hidden="1" outlineLevel="1"/>
    <row r="1351" hidden="1" outlineLevel="1"/>
    <row r="1352" hidden="1" outlineLevel="1"/>
    <row r="1353" hidden="1" outlineLevel="1"/>
    <row r="1354" hidden="1" outlineLevel="1"/>
    <row r="1355" hidden="1" outlineLevel="1"/>
    <row r="1356" hidden="1" outlineLevel="1"/>
    <row r="1357" collapsed="1">
      <c r="J1357" s="51">
        <f>J1336-25500000</f>
        <v/>
      </c>
    </row>
    <row r="1358" ht="15.75" customHeight="1">
      <c r="I1358" s="71" t="n">
        <v>51300000</v>
      </c>
    </row>
    <row r="1359">
      <c r="I1359" s="31">
        <f>I1358-7500000</f>
        <v/>
      </c>
    </row>
    <row r="1360" hidden="1" outlineLevel="1"/>
    <row r="1361" hidden="1" outlineLevel="1"/>
    <row r="1362" hidden="1" outlineLevel="1"/>
    <row r="1363" hidden="1" outlineLevel="1"/>
    <row r="1364" hidden="1" outlineLevel="1"/>
    <row r="1365" hidden="1" outlineLevel="1"/>
    <row r="1366" hidden="1" outlineLevel="1"/>
    <row r="1367" hidden="1" outlineLevel="1"/>
    <row r="1368" hidden="1" outlineLevel="1"/>
    <row r="1369" hidden="1" outlineLevel="1"/>
    <row r="1370" hidden="1" outlineLevel="1"/>
    <row r="1371" hidden="1" outlineLevel="1"/>
    <row r="1372" hidden="1" outlineLevel="1"/>
    <row r="1373" hidden="1" outlineLevel="1"/>
    <row r="1374" hidden="1" outlineLevel="1"/>
    <row r="1375" hidden="1" outlineLevel="1"/>
    <row r="1376" hidden="1" outlineLevel="1"/>
    <row r="1377" hidden="1" outlineLevel="1"/>
    <row r="1378" hidden="1" outlineLevel="1"/>
    <row r="1379" hidden="1" outlineLevel="1"/>
    <row r="1380" collapsed="1"/>
  </sheetData>
  <autoFilter ref="H1:H50">
    <sortState ref="H2:H91">
      <sortCondition ref="H1:H50"/>
    </sortState>
  </autoFilter>
  <mergeCells count="3">
    <mergeCell ref="O87:Q87"/>
    <mergeCell ref="B1:D1"/>
    <mergeCell ref="C22:D22"/>
  </mergeCells>
  <dataValidations count="7">
    <dataValidation sqref="D10" showDropDown="0" showInputMessage="1" showErrorMessage="1" allowBlank="1" type="list">
      <formula1>$H$2:$H$274</formula1>
    </dataValidation>
    <dataValidation sqref="E17" showDropDown="0" showInputMessage="1" showErrorMessage="1" allowBlank="1" type="list">
      <formula1>$J$2:$J$5</formula1>
    </dataValidation>
    <dataValidation sqref="D9" showDropDown="0" showInputMessage="1" showErrorMessage="1" allowBlank="0" type="list">
      <formula1>$G$2:$G$15</formula1>
    </dataValidation>
    <dataValidation sqref="D19" showDropDown="0" showInputMessage="1" showErrorMessage="1" allowBlank="1" type="list">
      <formula1>$J$2:$J$10</formula1>
    </dataValidation>
    <dataValidation sqref="F6" showDropDown="0" showInputMessage="1" showErrorMessage="1" allowBlank="1" type="list">
      <formula1>$G$1:$G$8</formula1>
    </dataValidation>
    <dataValidation sqref="D4" showDropDown="0" showInputMessage="1" showErrorMessage="1" allowBlank="1" type="list">
      <formula1>$I$2:$I$13</formula1>
    </dataValidation>
    <dataValidation sqref="D6" showDropDown="0" showInputMessage="1" showErrorMessage="1" allowBlank="1" type="list">
      <formula1>$M$2:$M$3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Trường pnt</dc:creator>
  <dcterms:created xmlns:dcterms="http://purl.org/dc/terms/" xmlns:xsi="http://www.w3.org/2001/XMLSchema-instance" xsi:type="dcterms:W3CDTF">2026-04-23T11:19:20Z</dcterms:created>
  <dcterms:modified xmlns:dcterms="http://purl.org/dc/terms/" xmlns:xsi="http://www.w3.org/2001/XMLSchema-instance" xsi:type="dcterms:W3CDTF">2026-04-24T05:31:56Z</dcterms:modified>
  <cp:lastModifiedBy>Trường pnt</cp:lastModifiedBy>
</cp:coreProperties>
</file>